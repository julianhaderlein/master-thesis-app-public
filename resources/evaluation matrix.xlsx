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-thesis\Market analysis\"/>
    </mc:Choice>
  </mc:AlternateContent>
  <xr:revisionPtr revIDLastSave="0" documentId="13_ncr:1_{0138DFA9-C123-4592-A049-440B93D77C15}" xr6:coauthVersionLast="47" xr6:coauthVersionMax="47" xr10:uidLastSave="{00000000-0000-0000-0000-000000000000}"/>
  <bookViews>
    <workbookView xWindow="19090" yWindow="-110" windowWidth="38620" windowHeight="21820" xr2:uid="{1B15D51F-21E2-4045-9B69-563063E6B8E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8" i="1" l="1"/>
  <c r="P77" i="1"/>
  <c r="P76" i="1"/>
  <c r="P75" i="1"/>
  <c r="P74" i="1"/>
  <c r="P73" i="1"/>
  <c r="P72" i="1"/>
  <c r="P71" i="1"/>
  <c r="P70" i="1"/>
  <c r="P69" i="1"/>
  <c r="P68" i="1"/>
  <c r="P67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7" i="1"/>
  <c r="P36" i="1"/>
  <c r="P35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2" i="1"/>
  <c r="P11" i="1"/>
  <c r="P10" i="1"/>
  <c r="P9" i="1"/>
  <c r="P8" i="1"/>
  <c r="P7" i="1"/>
  <c r="P5" i="1"/>
  <c r="N78" i="1"/>
  <c r="N77" i="1"/>
  <c r="N76" i="1"/>
  <c r="N75" i="1"/>
  <c r="N74" i="1"/>
  <c r="N73" i="1"/>
  <c r="N72" i="1"/>
  <c r="N71" i="1"/>
  <c r="N70" i="1"/>
  <c r="N69" i="1"/>
  <c r="N68" i="1"/>
  <c r="N67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7" i="1"/>
  <c r="N36" i="1"/>
  <c r="N35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2" i="1"/>
  <c r="N11" i="1"/>
  <c r="N10" i="1"/>
  <c r="N9" i="1"/>
  <c r="N8" i="1"/>
  <c r="N7" i="1"/>
  <c r="N5" i="1"/>
  <c r="L78" i="1"/>
  <c r="L77" i="1"/>
  <c r="L76" i="1"/>
  <c r="L75" i="1"/>
  <c r="L74" i="1"/>
  <c r="L73" i="1"/>
  <c r="L72" i="1"/>
  <c r="L71" i="1"/>
  <c r="L70" i="1"/>
  <c r="L69" i="1"/>
  <c r="L68" i="1"/>
  <c r="L67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7" i="1"/>
  <c r="L36" i="1"/>
  <c r="L35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2" i="1"/>
  <c r="L11" i="1"/>
  <c r="L10" i="1"/>
  <c r="L9" i="1"/>
  <c r="L8" i="1"/>
  <c r="L7" i="1"/>
  <c r="L5" i="1"/>
  <c r="J78" i="1"/>
  <c r="J77" i="1"/>
  <c r="J76" i="1"/>
  <c r="J75" i="1"/>
  <c r="J74" i="1"/>
  <c r="J73" i="1"/>
  <c r="J72" i="1"/>
  <c r="J71" i="1"/>
  <c r="J70" i="1"/>
  <c r="J69" i="1"/>
  <c r="J68" i="1"/>
  <c r="J67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7" i="1"/>
  <c r="J36" i="1"/>
  <c r="J35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2" i="1"/>
  <c r="J11" i="1"/>
  <c r="J10" i="1"/>
  <c r="J9" i="1"/>
  <c r="J8" i="1"/>
  <c r="J7" i="1"/>
  <c r="J5" i="1"/>
  <c r="H78" i="1"/>
  <c r="H77" i="1"/>
  <c r="H76" i="1"/>
  <c r="H75" i="1"/>
  <c r="H74" i="1"/>
  <c r="H73" i="1"/>
  <c r="H72" i="1"/>
  <c r="H71" i="1"/>
  <c r="H70" i="1"/>
  <c r="H69" i="1"/>
  <c r="H68" i="1"/>
  <c r="H67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7" i="1"/>
  <c r="H36" i="1"/>
  <c r="H35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2" i="1"/>
  <c r="H11" i="1"/>
  <c r="H10" i="1"/>
  <c r="H9" i="1"/>
  <c r="H8" i="1"/>
  <c r="H7" i="1"/>
  <c r="H5" i="1"/>
  <c r="D78" i="1"/>
  <c r="D77" i="1"/>
  <c r="D76" i="1"/>
  <c r="D75" i="1"/>
  <c r="D74" i="1"/>
  <c r="D73" i="1"/>
  <c r="D72" i="1"/>
  <c r="D71" i="1"/>
  <c r="D70" i="1"/>
  <c r="D69" i="1"/>
  <c r="D68" i="1"/>
  <c r="D67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5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2" i="1"/>
  <c r="D11" i="1"/>
  <c r="D10" i="1"/>
  <c r="D9" i="1"/>
  <c r="D8" i="1"/>
  <c r="D7" i="1"/>
  <c r="D5" i="1"/>
  <c r="F7" i="1"/>
  <c r="F8" i="1"/>
  <c r="F9" i="1"/>
  <c r="F10" i="1"/>
  <c r="F11" i="1"/>
  <c r="F12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5" i="1"/>
  <c r="F36" i="1"/>
  <c r="F37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7" i="1"/>
  <c r="F68" i="1"/>
  <c r="F69" i="1"/>
  <c r="F70" i="1"/>
  <c r="F71" i="1"/>
  <c r="F72" i="1"/>
  <c r="F73" i="1"/>
  <c r="F74" i="1"/>
  <c r="F75" i="1"/>
  <c r="F76" i="1"/>
  <c r="F77" i="1"/>
  <c r="F78" i="1"/>
  <c r="F5" i="1"/>
  <c r="C79" i="1" l="1"/>
  <c r="E79" i="1"/>
  <c r="G79" i="1"/>
  <c r="I79" i="1"/>
  <c r="K79" i="1"/>
  <c r="M79" i="1"/>
  <c r="O7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tc={FAF4FC6B-3CDD-41B1-A3AB-95FF92E0D611}</author>
    <author>tc={E210F135-3D48-4D2A-BD61-6F89FB697E1A}</author>
    <author>tc={9D841266-11CC-4701-B2A1-783B50626956}</author>
    <author>tc={417A1401-6DBF-47BC-9864-7F1EFAF0F855}</author>
    <author>tc={0B814655-B9A6-41BE-BABB-A8EC9295B3FD}</author>
    <author>tc={5D975C77-9E3B-43CB-93FB-876CDD3977BE}</author>
    <author>tc={498D8FC2-CB06-4CFF-86C3-C79F50EF744B}</author>
    <author>tc={0C19D0FA-B916-467E-BC1A-B27EF62A3C96}</author>
    <author>tc={88B7C415-F59A-4595-9E4A-0972DAAE50D0}</author>
    <author>tc={7916DDD4-F564-4AEE-ADAD-06EE0976E068}</author>
    <author>tc={CA84909F-98CF-47C5-AE55-A1869786E0B1}</author>
    <author>tc={D823E906-DFF2-4D80-A2AE-7AB560CD82BD}</author>
    <author>tc={BF1808B3-52F4-4263-8CB9-57E9F0453C3D}</author>
    <author>tc={4EE10936-95AD-4EE3-86FD-0139C179A6FA}</author>
    <author>tc={449DAC4A-0608-4E72-96C5-7AEAC12703F1}</author>
    <author>tc={82F3CF78-1757-47B7-AA4C-FBC99F749387}</author>
    <author>tc={A1BB0952-2261-40BA-A9B1-A215CAFFBAED}</author>
    <author>tc={1CAE87BC-0FDF-4C16-A12D-1DA594D69866}</author>
    <author>tc={6FEBDF84-EA5C-4423-80EF-7DD6E1D9E592}</author>
    <author>tc={FB0A541E-8892-4D38-8DFE-C2EA56C358A6}</author>
    <author>tc={8434B857-9FDE-472A-B6C1-C85943B9E885}</author>
    <author>tc={8745B7A7-1A2A-4616-8341-ED5CCB1F1106}</author>
    <author>tc={BA9BA68C-CBD1-4A7A-840F-3B67396A7F7A}</author>
    <author>tc={A6AD975A-4FE3-4BEF-8224-3E72BD935898}</author>
    <author>tc={0A2DF007-10A6-4D69-9143-00358E3A3019}</author>
    <author>tc={005373BF-A867-4647-BEC6-F37AC5018AAF}</author>
    <author>tc={908038B0-9453-4264-9277-B616ADE5E14E}</author>
    <author>tc={D9F5B08E-48D7-40B9-822F-BEC98795D27A}</author>
    <author>tc={258AB77D-03C5-4DC3-8DB6-8600ED49AA04}</author>
    <author>tc={9142FD9E-E6EC-46E9-BFB0-958A32D9D205}</author>
    <author>tc={B30EB8FD-DC46-4BF1-AE1E-B4E2C028744F}</author>
    <author>tc={70DEAC9D-0B4B-4912-862E-ADE4DF5AF92C}</author>
    <author>tc={192D6EB2-0594-4258-A500-6A8B3CD66864}</author>
    <author>tc={EE3AC51A-DA25-45A3-BE49-5E534FEBFB8F}</author>
    <author>tc={77A77C73-691C-44BA-9DF6-C1875921357E}</author>
    <author>tc={E6D138F2-19DF-49DC-B884-F51DA886E4D7}</author>
    <author>tc={E1AC30D8-9986-4FE3-BA04-299AB006D817}</author>
    <author>tc={FCC14F3F-E8FE-4791-B672-5320494A7D39}</author>
    <author>tc={B31F1488-0468-4DC8-83A2-58A57B9F4C23}</author>
    <author>tc={73E3256F-4437-4756-9A8C-E1DF1CD58424}</author>
    <author>tc={E1124B90-AA57-4166-8CF3-5EE44158BEB5}</author>
    <author>tc={897E010B-3429-44D9-9340-AD6E17D221C2}</author>
    <author>tc={6B134EC7-C13D-479A-A871-64C96337ACF9}</author>
    <author>tc={1BE6A440-B2B6-4F26-8028-5A20D05A9244}</author>
    <author>tc={7F20E0A1-9D82-4DA2-A380-3B60E25C9CC9}</author>
    <author>tc={9001D6CD-5888-46E8-B394-3016DE0413FF}</author>
    <author>tc={C6F5DC47-70D2-45EF-BEF1-FEC7E0672CE7}</author>
    <author>tc={9C89BFBA-CA2D-4D07-B634-9EDEEB03998D}</author>
    <author>tc={1B7E405E-8D16-4284-A06A-A185F2C515D9}</author>
    <author>tc={AA0DFE2B-7349-405C-859B-F8159DE613AC}</author>
  </authors>
  <commentList>
    <comment ref="E15" authorId="0" shapeId="0" xr:uid="{FAF4FC6B-3CDD-41B1-A3AB-95FF92E0D61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This is an assumption, I was unable to find an example or it being mentioned</t>
      </text>
    </comment>
    <comment ref="G15" authorId="1" shapeId="0" xr:uid="{E210F135-3D48-4D2A-BD61-6F89FB697E1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This is an assumption, I was unable to find an example or it being mentioned</t>
      </text>
    </comment>
    <comment ref="I15" authorId="2" shapeId="0" xr:uid="{9D841266-11CC-4701-B2A1-783B5062695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Not for my bank</t>
      </text>
    </comment>
    <comment ref="K15" authorId="3" shapeId="0" xr:uid="{417A1401-6DBF-47BC-9864-7F1EFAF0F85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This is an assumption, I was unable to find an example or it being mentioned</t>
      </text>
    </comment>
    <comment ref="M15" authorId="4" shapeId="0" xr:uid="{0B814655-B9A6-41BE-BABB-A8EC9295B3F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This is an assumption, I was unable to find an example or it being mentioned</t>
      </text>
    </comment>
    <comment ref="O15" authorId="5" shapeId="0" xr:uid="{5D975C77-9E3B-43CB-93FB-876CDD3977B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This is an assumption, I was unable to find an example or it being mentioned</t>
      </text>
    </comment>
    <comment ref="C16" authorId="6" shapeId="0" xr:uid="{498D8FC2-CB06-4CFF-86C3-C79F50EF744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Not handled differently</t>
      </text>
    </comment>
    <comment ref="E16" authorId="7" shapeId="0" xr:uid="{0C19D0FA-B916-467E-BC1A-B27EF62A3C9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This is an assumption, I was unable to find an example or it being mentioned</t>
      </text>
    </comment>
    <comment ref="G16" authorId="8" shapeId="0" xr:uid="{88B7C415-F59A-4595-9E4A-0972DAAE50D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This is an assumption, I was unable to find an example or it being mentioned</t>
      </text>
    </comment>
    <comment ref="I16" authorId="9" shapeId="0" xr:uid="{7916DDD4-F564-4AEE-ADAD-06EE0976E06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This is an assumption, I was unable to find an example or it being mentioned</t>
      </text>
    </comment>
    <comment ref="K16" authorId="10" shapeId="0" xr:uid="{CA84909F-98CF-47C5-AE55-A1869786E0B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This is an assumption, I was unable to find an example or it being mentioned</t>
      </text>
    </comment>
    <comment ref="M16" authorId="11" shapeId="0" xr:uid="{D823E906-DFF2-4D80-A2AE-7AB560CD82B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This is an assumption, I was unable to find an example or it being mentioned</t>
      </text>
    </comment>
    <comment ref="O16" authorId="12" shapeId="0" xr:uid="{BF1808B3-52F4-4263-8CB9-57E9F0453C3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This is an assumption, I was unable to find an example or it being mentioned</t>
      </text>
    </comment>
    <comment ref="E17" authorId="13" shapeId="0" xr:uid="{4EE10936-95AD-4EE3-86FD-0139C179A6F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This is an assumption, I was unable to find an example or it being mentioned</t>
      </text>
    </comment>
    <comment ref="G17" authorId="14" shapeId="0" xr:uid="{449DAC4A-0608-4E72-96C5-7AEAC12703F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Not for my bank</t>
      </text>
    </comment>
    <comment ref="I17" authorId="15" shapeId="0" xr:uid="{82F3CF78-1757-47B7-AA4C-FBC99F74938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Not for my bank</t>
      </text>
    </comment>
    <comment ref="K17" authorId="16" shapeId="0" xr:uid="{A1BB0952-2261-40BA-A9B1-A215CAFFBAE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This is an assumption, I was unable to find an example or it being mentioned</t>
      </text>
    </comment>
    <comment ref="M17" authorId="17" shapeId="0" xr:uid="{1CAE87BC-0FDF-4C16-A12D-1DA594D6986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This is an assumption, I was unable to find an example or it being mentioned</t>
      </text>
    </comment>
    <comment ref="O17" authorId="18" shapeId="0" xr:uid="{6FEBDF84-EA5C-4423-80EF-7DD6E1D9E59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This is an assumption, I was unable to find an example or it being mentioned</t>
      </text>
    </comment>
    <comment ref="C18" authorId="19" shapeId="0" xr:uid="{FB0A541E-8892-4D38-8DFE-C2EA56C358A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Coinbase, Bitpanda</t>
      </text>
    </comment>
    <comment ref="E18" authorId="20" shapeId="0" xr:uid="{8434B857-9FDE-472A-B6C1-C85943B9E88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This is an assumption, I was unable to find an example or it being mentioned</t>
      </text>
    </comment>
    <comment ref="G18" authorId="21" shapeId="0" xr:uid="{8745B7A7-1A2A-4616-8341-ED5CCB1F110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Coinbase supported</t>
      </text>
    </comment>
    <comment ref="K18" authorId="22" shapeId="0" xr:uid="{BA9BA68C-CBD1-4A7A-840F-3B67396A7F7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Coinbase, Or based on an Ethereum address</t>
      </text>
    </comment>
    <comment ref="K23" authorId="23" shapeId="0" xr:uid="{A6AD975A-4FE3-4BEF-8224-3E72BD93589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In theory, see https://help.spendee.com/article/179-automatic-categorization (but did not work in my case)</t>
      </text>
    </comment>
    <comment ref="O23" authorId="24" shapeId="0" xr:uid="{0A2DF007-10A6-4D69-9143-00358E3A301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In theory yes, but it only seems to have worked for the most recent imported transactions and in total less then 20% got any categorisation, no points</t>
      </text>
    </comment>
    <comment ref="K25" authorId="25" shapeId="0" xr:uid="{005373BF-A867-4647-BEC6-F37AC5018A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Transfer is just a category</t>
      </text>
    </comment>
    <comment ref="C26" authorId="26" shapeId="0" xr:uid="{908038B0-9453-4264-9277-B616ADE5E14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There is an option to reset modifications</t>
      </text>
    </comment>
    <comment ref="I26" authorId="27" shapeId="0" xr:uid="{D9F5B08E-48D7-40B9-822F-BEC98795D27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Only partly possible</t>
      </text>
    </comment>
    <comment ref="K26" authorId="28" shapeId="0" xr:uid="{258AB77D-03C5-4DC3-8DB6-8600ED49AA0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Only partly possible</t>
      </text>
    </comment>
    <comment ref="M26" authorId="29" shapeId="0" xr:uid="{9142FD9E-E6EC-46E9-BFB0-958A32D9D20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Only partly possible</t>
      </text>
    </comment>
    <comment ref="M27" authorId="30" shapeId="0" xr:uid="{B30EB8FD-DC46-4BF1-AE1E-B4E2C028744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You need to click on add recurring transactions for the suggestions to show up</t>
      </text>
    </comment>
    <comment ref="E30" authorId="31" shapeId="0" xr:uid="{70DEAC9D-0B4B-4912-862E-ADE4DF5AF92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This is an iOS only app and Google Pay is not available on iOS, so full points to not brake the calculation</t>
      </text>
    </comment>
    <comment ref="C33" authorId="32" shapeId="0" xr:uid="{192D6EB2-0594-4258-A500-6A8B3CD6686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Requires the additional Split App</t>
      </text>
    </comment>
    <comment ref="G35" authorId="33" shapeId="0" xr:uid="{EE3AC51A-DA25-45A3-BE49-5E534FEBFB8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Only Subcategories can be added</t>
      </text>
    </comment>
    <comment ref="I35" authorId="34" shapeId="0" xr:uid="{77A77C73-691C-44BA-9DF6-C1875921357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Only Subcategories can be added</t>
      </text>
    </comment>
    <comment ref="C48" authorId="35" shapeId="0" xr:uid="{E6D138F2-19DF-49DC-B884-F51DA886E4D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It is possible to add an upcoming transaction, but no „real“ transactions</t>
      </text>
    </comment>
    <comment ref="G48" authorId="36" shapeId="0" xr:uid="{E1AC30D8-9986-4FE3-BA04-299AB006D81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Not applicable, full points</t>
      </text>
    </comment>
    <comment ref="I53" authorId="37" shapeId="0" xr:uid="{FCC14F3F-E8FE-4791-B672-5320494A7D3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Only images</t>
      </text>
    </comment>
    <comment ref="K53" authorId="38" shapeId="0" xr:uid="{B31F1488-0468-4DC8-83A2-58A57B9F4C2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Only images</t>
      </text>
    </comment>
    <comment ref="C55" authorId="39" shapeId="0" xr:uid="{73E3256F-4437-4756-9A8C-E1DF1CD5842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Requires the free additional "Split" app</t>
      </text>
    </comment>
    <comment ref="K55" authorId="40" shapeId="0" xr:uid="{E1124B90-AA57-4166-8CF3-5EE44158BEB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Only possible for manual transactions, so only half points</t>
      </text>
    </comment>
    <comment ref="E57" authorId="41" shapeId="0" xr:uid="{897E010B-3429-44D9-9340-AD6E17D221C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Only for manual accounts!</t>
      </text>
    </comment>
    <comment ref="I57" authorId="42" shapeId="0" xr:uid="{6B134EC7-C13D-479A-A871-64C96337ACF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This is only possible for non synced accounts, but you can stop the sync, import and then connect it again.</t>
      </text>
    </comment>
    <comment ref="K60" authorId="43" shapeId="0" xr:uid="{1BE6A440-B2B6-4F26-8028-5A20D05A924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Only possible in the web app, only half points</t>
      </text>
    </comment>
    <comment ref="I62" authorId="44" shapeId="0" xr:uid="{7F20E0A1-9D82-4DA2-A380-3B60E25C9CC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Only possible in the web app, only half points</t>
      </text>
    </comment>
    <comment ref="K62" authorId="45" shapeId="0" xr:uid="{9001D6CD-5888-46E8-B394-3016DE0413F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Only possible in the web app, only half points</t>
      </text>
    </comment>
    <comment ref="K64" authorId="46" shapeId="0" xr:uid="{C6F5DC47-70D2-45EF-BEF1-FEC7E0672CE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Only possible in the web app, only half points</t>
      </text>
    </comment>
    <comment ref="K65" authorId="47" shapeId="0" xr:uid="{9C89BFBA-CA2D-4D07-B634-9EDEEB03998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Only possible in the web app, only half points</t>
      </text>
    </comment>
    <comment ref="K69" authorId="48" shapeId="0" xr:uid="{1B7E405E-8D16-4284-A06A-A185F2C515D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Only possible in the web app, only half points</t>
      </text>
    </comment>
    <comment ref="K70" authorId="49" shapeId="0" xr:uid="{AA0DFE2B-7349-405C-859B-F8159DE613A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Only possible in the web app, only half points</t>
      </text>
    </comment>
  </commentList>
</comments>
</file>

<file path=xl/sharedStrings.xml><?xml version="1.0" encoding="utf-8"?>
<sst xmlns="http://schemas.openxmlformats.org/spreadsheetml/2006/main" count="93" uniqueCount="93">
  <si>
    <t>Evaluation matrix</t>
  </si>
  <si>
    <t>Criteria</t>
  </si>
  <si>
    <t>Automation Features</t>
  </si>
  <si>
    <t>credit card</t>
  </si>
  <si>
    <t>checking account</t>
  </si>
  <si>
    <t>saving account</t>
  </si>
  <si>
    <t>crypto wallets</t>
  </si>
  <si>
    <t>Paypal</t>
  </si>
  <si>
    <t>Skrill</t>
  </si>
  <si>
    <t>Neteller</t>
  </si>
  <si>
    <t>How regularly are the accounts synced?</t>
  </si>
  <si>
    <t>Is it possible to override synced transactions?</t>
  </si>
  <si>
    <t>Are related transactions linked? (transfers from one account to another)</t>
  </si>
  <si>
    <t>Are recurring payments automatically recognized?</t>
  </si>
  <si>
    <t>Customization</t>
  </si>
  <si>
    <t>Is it possible to define custom categorizations?</t>
  </si>
  <si>
    <t>Is it possible to override existing categorizations?</t>
  </si>
  <si>
    <t>Is it possible to add multiple categories to a transaction?</t>
  </si>
  <si>
    <t>Flexibility</t>
  </si>
  <si>
    <t>Finanzguru</t>
  </si>
  <si>
    <t>MoneyCoach</t>
  </si>
  <si>
    <t>Wallet (Budgetbakers)</t>
  </si>
  <si>
    <t>Spendee</t>
  </si>
  <si>
    <t>Are all of austrias top banks supported? (https://www.advantageaustria.org/bz/zentral/branchen/banken-und-versicherungen/zahlen-und-fakten/zahlen-und-fakten.de.html)</t>
  </si>
  <si>
    <t>Which types of accounts are supported? (depending on the bank)</t>
  </si>
  <si>
    <t>Are virtual accounts supported? (e.g. for cash)</t>
  </si>
  <si>
    <t>Are refunds recognized automatically?</t>
  </si>
  <si>
    <t>3 times a day, manual  sync possible (https://hilfe.finanzguru.de/de/articles/1492034)</t>
  </si>
  <si>
    <t>Is it possible to import data?</t>
  </si>
  <si>
    <t>Is it possible to export data?</t>
  </si>
  <si>
    <t>shared accounts</t>
  </si>
  <si>
    <t>Is it possible to add (multiple) tags to transactions?</t>
  </si>
  <si>
    <t>Is it possible to split transactions?</t>
  </si>
  <si>
    <t>Is it possible to attach files to a transaction?</t>
  </si>
  <si>
    <t>Statistics</t>
  </si>
  <si>
    <t>Is it possible to track debt (e.g. someone owing you money for food)?</t>
  </si>
  <si>
    <t>Is there a web/desktop interface?</t>
  </si>
  <si>
    <t>Is it possible to setup custom rules for the categorization?</t>
  </si>
  <si>
    <t>once a day OR manual, depending on the bank integration</t>
  </si>
  <si>
    <t>Once every 24h (if the bank allows it) and manually</t>
  </si>
  <si>
    <t>Bilance</t>
  </si>
  <si>
    <t>4 times a day</t>
  </si>
  <si>
    <t>Get Bill</t>
  </si>
  <si>
    <t>Not specified, manual sync seems to be possible</t>
  </si>
  <si>
    <t>Buddy</t>
  </si>
  <si>
    <t>Not specified, manual sync is possible</t>
  </si>
  <si>
    <t>Can you add manual transactions to synced accounts?</t>
  </si>
  <si>
    <t>Everytime you open the app</t>
  </si>
  <si>
    <t>Can you create custom budgets?</t>
  </si>
  <si>
    <t>Can you define the period for the budget?</t>
  </si>
  <si>
    <t>Can you create one time budgets?</t>
  </si>
  <si>
    <t>Can you filter for tags?</t>
  </si>
  <si>
    <t>Can you filter for categories?</t>
  </si>
  <si>
    <t>Can you see the values per category?</t>
  </si>
  <si>
    <t>Can you save filters/views?</t>
  </si>
  <si>
    <t>Can you define the period for the data?</t>
  </si>
  <si>
    <t>Can you see the values per recipient?</t>
  </si>
  <si>
    <t>Can you exclude transfers?</t>
  </si>
  <si>
    <t>Can you see averaged values? (averaged expenses)</t>
  </si>
  <si>
    <t>Is there a forcast functionality? (for the total money)</t>
  </si>
  <si>
    <t>Can you see predicted transactions?</t>
  </si>
  <si>
    <t>Can you filter for accounts?</t>
  </si>
  <si>
    <t>Are synced transactions unread/to be reviewed?</t>
  </si>
  <si>
    <t>Can you filter the transaction list by period?</t>
  </si>
  <si>
    <t>Can you filter the transaction list by tags?</t>
  </si>
  <si>
    <t>Can you filter the transaction list by categories?</t>
  </si>
  <si>
    <t>Can you filter the transaction list by recipients?</t>
  </si>
  <si>
    <t>Can you search the transaction list by a search term?</t>
  </si>
  <si>
    <t>Can you bulk edit transactions?</t>
  </si>
  <si>
    <t>Can you filter the transaction list by amount range?</t>
  </si>
  <si>
    <t>Are recurring payments listed?</t>
  </si>
  <si>
    <t>Are multiple currencies supported?</t>
  </si>
  <si>
    <t>Can you create templates for new transactions?</t>
  </si>
  <si>
    <t>Can you automatically add Google Pay transactions?</t>
  </si>
  <si>
    <t>Can you automatically add Apple Pay transactions?</t>
  </si>
  <si>
    <t>Is there OCR for recognizing the content of receipts</t>
  </si>
  <si>
    <t>Is it possible to customize custom categories? (Icons, Colors, etc)</t>
  </si>
  <si>
    <t>Bank accounts are not linked to accounts in the app itself?</t>
  </si>
  <si>
    <t>UniCredit Bank Austria AG</t>
  </si>
  <si>
    <t>BAWAG Group AG</t>
  </si>
  <si>
    <t>Oberbank AG</t>
  </si>
  <si>
    <t>HYPO NOE Landesbank für Niederösterreich und Wien AG</t>
  </si>
  <si>
    <t>Raiffeisen Bank (Raiffeisen Bank International, Raiffeisenlandesbank Oberösterreich AG, Raiffeisenlandesbank NÖ-Wien AG, Raiffeisen-Landesbank Steiermark AG)</t>
  </si>
  <si>
    <t>Erste Bank (Erste Group Bank AG, Steiermärkische Bank und Sparkassen AG)</t>
  </si>
  <si>
    <t>Is it possible to assign transactions to a person</t>
  </si>
  <si>
    <t>Is it possible to share data with participants?</t>
  </si>
  <si>
    <t>Are tags supported?</t>
  </si>
  <si>
    <t>Can you manually track assets in a portfolio?</t>
  </si>
  <si>
    <t>Can you manually track crypto wallets?</t>
  </si>
  <si>
    <t xml:space="preserve">Can you manually track credit cards? </t>
  </si>
  <si>
    <t>Gewichtung</t>
  </si>
  <si>
    <t>Portfolios</t>
  </si>
  <si>
    <t>Are transactions categorized automatically?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</si>
</sst>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3" fillId="2" borderId="4" xfId="0" applyFont="1" applyFill="1" applyBorder="1"/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3" fillId="2" borderId="6" xfId="0" applyFont="1" applyFill="1" applyBorder="1"/>
    <xf numFmtId="0" fontId="3" fillId="3" borderId="1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3" fillId="3" borderId="3" xfId="0" applyFont="1" applyFill="1" applyBorder="1" applyAlignment="1">
      <alignment horizontal="left" wrapText="1"/>
    </xf>
    <xf numFmtId="0" fontId="1" fillId="0" borderId="0" xfId="1" applyAlignment="1">
      <alignment horizontal="center"/>
    </xf>
    <xf numFmtId="0" fontId="0" fillId="5" borderId="1" xfId="0" applyFill="1" applyBorder="1" applyAlignment="1">
      <alignment wrapText="1"/>
    </xf>
    <xf numFmtId="0" fontId="0" fillId="0" borderId="1" xfId="0" applyBorder="1" applyAlignment="1">
      <alignment horizontal="left" wrapText="1"/>
    </xf>
    <xf numFmtId="0" fontId="2" fillId="4" borderId="1" xfId="0" applyFont="1" applyFill="1" applyBorder="1" applyAlignment="1">
      <alignment horizontal="left"/>
    </xf>
    <xf numFmtId="0" fontId="0" fillId="0" borderId="5" xfId="0" applyBorder="1"/>
    <xf numFmtId="0" fontId="0" fillId="0" borderId="2" xfId="0" applyBorder="1"/>
    <xf numFmtId="0" fontId="2" fillId="4" borderId="3" xfId="0" applyFont="1" applyFill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3" borderId="1" xfId="0" applyFont="1" applyFill="1" applyBorder="1" applyAlignment="1">
      <alignment horizontal="left" wrapText="1"/>
    </xf>
    <xf numFmtId="0" fontId="1" fillId="0" borderId="0" xfId="1" applyAlignment="1">
      <alignment horizontal="center"/>
    </xf>
  </cellXfs>
  <cellStyles count="2">
    <cellStyle name="Standard" xfId="0" builtinId="0"/>
    <cellStyle name="Überschrift" xfId="1" builtinId="15"/>
  </cellStyles>
  <dxfs count="0"/>
  <tableStyles count="0" defaultTableStyle="TableStyleMedium2" defaultPivotStyle="PivotStyleLight16"/>
  <colors>
    <mruColors>
      <color rgb="FFF8FCFE"/>
      <color rgb="FFDBF0F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lian Haderlein" id="{1706CDD9-3210-4B2F-BC39-98029C1D3528}" userId="S::se24m034@technikum-wien.at::1e75cb24-d77c-488d-8d53-5b2ee5bf0cf7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5" dT="2025-11-07T23:49:01.41" personId="{1706CDD9-3210-4B2F-BC39-98029C1D3528}" id="{FAF4FC6B-3CDD-41B1-A3AB-95FF92E0D611}">
    <text>This is an assumption, I was unable to find an example or it being mentioned</text>
  </threadedComment>
  <threadedComment ref="G15" dT="2025-11-07T23:49:01.41" personId="{1706CDD9-3210-4B2F-BC39-98029C1D3528}" id="{E210F135-3D48-4D2A-BD61-6F89FB697E1A}">
    <text>This is an assumption, I was unable to find an example or it being mentioned</text>
  </threadedComment>
  <threadedComment ref="I15" dT="2025-11-07T23:49:44.03" personId="{1706CDD9-3210-4B2F-BC39-98029C1D3528}" id="{9D841266-11CC-4701-B2A1-783B50626956}">
    <text>Not for my bank</text>
  </threadedComment>
  <threadedComment ref="K15" dT="2025-11-07T23:49:01.41" personId="{1706CDD9-3210-4B2F-BC39-98029C1D3528}" id="{417A1401-6DBF-47BC-9864-7F1EFAF0F855}">
    <text>This is an assumption, I was unable to find an example or it being mentioned</text>
  </threadedComment>
  <threadedComment ref="M15" dT="2025-11-07T23:49:01.41" personId="{1706CDD9-3210-4B2F-BC39-98029C1D3528}" id="{0B814655-B9A6-41BE-BABB-A8EC9295B3FD}">
    <text>This is an assumption, I was unable to find an example or it being mentioned</text>
  </threadedComment>
  <threadedComment ref="O15" dT="2025-11-07T23:49:01.41" personId="{1706CDD9-3210-4B2F-BC39-98029C1D3528}" id="{5D975C77-9E3B-43CB-93FB-876CDD3977BE}">
    <text>This is an assumption, I was unable to find an example or it being mentioned</text>
  </threadedComment>
  <threadedComment ref="C16" dT="2025-11-08T00:04:31.54" personId="{1706CDD9-3210-4B2F-BC39-98029C1D3528}" id="{498D8FC2-CB06-4CFF-86C3-C79F50EF744B}">
    <text>Not handled differently</text>
  </threadedComment>
  <threadedComment ref="E16" dT="2025-11-07T23:49:01.41" personId="{1706CDD9-3210-4B2F-BC39-98029C1D3528}" id="{0C19D0FA-B916-467E-BC1A-B27EF62A3C96}">
    <text>This is an assumption, I was unable to find an example or it being mentioned</text>
  </threadedComment>
  <threadedComment ref="G16" dT="2025-11-07T23:49:01.41" personId="{1706CDD9-3210-4B2F-BC39-98029C1D3528}" id="{88B7C415-F59A-4595-9E4A-0972DAAE50D0}">
    <text>This is an assumption, I was unable to find an example or it being mentioned</text>
  </threadedComment>
  <threadedComment ref="I16" dT="2025-11-07T23:49:01.41" personId="{1706CDD9-3210-4B2F-BC39-98029C1D3528}" id="{7916DDD4-F564-4AEE-ADAD-06EE0976E068}">
    <text>This is an assumption, I was unable to find an example or it being mentioned</text>
  </threadedComment>
  <threadedComment ref="K16" dT="2025-11-07T23:49:01.41" personId="{1706CDD9-3210-4B2F-BC39-98029C1D3528}" id="{CA84909F-98CF-47C5-AE55-A1869786E0B1}">
    <text>This is an assumption, I was unable to find an example or it being mentioned</text>
  </threadedComment>
  <threadedComment ref="M16" dT="2025-11-07T23:49:01.41" personId="{1706CDD9-3210-4B2F-BC39-98029C1D3528}" id="{D823E906-DFF2-4D80-A2AE-7AB560CD82BD}">
    <text>This is an assumption, I was unable to find an example or it being mentioned</text>
  </threadedComment>
  <threadedComment ref="O16" dT="2025-11-07T23:49:01.41" personId="{1706CDD9-3210-4B2F-BC39-98029C1D3528}" id="{BF1808B3-52F4-4263-8CB9-57E9F0453C3D}">
    <text>This is an assumption, I was unable to find an example or it being mentioned</text>
  </threadedComment>
  <threadedComment ref="E17" dT="2025-11-07T23:49:01.41" personId="{1706CDD9-3210-4B2F-BC39-98029C1D3528}" id="{4EE10936-95AD-4EE3-86FD-0139C179A6FA}">
    <text>This is an assumption, I was unable to find an example or it being mentioned</text>
  </threadedComment>
  <threadedComment ref="G17" dT="2025-11-07T23:49:44.03" personId="{1706CDD9-3210-4B2F-BC39-98029C1D3528}" id="{449DAC4A-0608-4E72-96C5-7AEAC12703F1}">
    <text>Not for my bank</text>
  </threadedComment>
  <threadedComment ref="I17" dT="2025-11-07T23:49:44.03" personId="{1706CDD9-3210-4B2F-BC39-98029C1D3528}" id="{82F3CF78-1757-47B7-AA4C-FBC99F749387}">
    <text>Not for my bank</text>
  </threadedComment>
  <threadedComment ref="K17" dT="2025-11-07T23:49:01.41" personId="{1706CDD9-3210-4B2F-BC39-98029C1D3528}" id="{A1BB0952-2261-40BA-A9B1-A215CAFFBAED}">
    <text>This is an assumption, I was unable to find an example or it being mentioned</text>
  </threadedComment>
  <threadedComment ref="M17" dT="2025-11-07T23:49:01.41" personId="{1706CDD9-3210-4B2F-BC39-98029C1D3528}" id="{1CAE87BC-0FDF-4C16-A12D-1DA594D69866}">
    <text>This is an assumption, I was unable to find an example or it being mentioned</text>
  </threadedComment>
  <threadedComment ref="O17" dT="2025-11-07T23:49:01.41" personId="{1706CDD9-3210-4B2F-BC39-98029C1D3528}" id="{6FEBDF84-EA5C-4423-80EF-7DD6E1D9E592}">
    <text>This is an assumption, I was unable to find an example or it being mentioned</text>
  </threadedComment>
  <threadedComment ref="C18" dT="2025-11-07T23:44:42.91" personId="{1706CDD9-3210-4B2F-BC39-98029C1D3528}" id="{FB0A541E-8892-4D38-8DFE-C2EA56C358A6}">
    <text>Coinbase, Bitpanda</text>
  </threadedComment>
  <threadedComment ref="E18" dT="2025-11-07T23:49:01.41" personId="{1706CDD9-3210-4B2F-BC39-98029C1D3528}" id="{8434B857-9FDE-472A-B6C1-C85943B9E885}">
    <text>This is an assumption, I was unable to find an example or it being mentioned</text>
  </threadedComment>
  <threadedComment ref="G18" dT="2025-11-07T23:44:57.57" personId="{1706CDD9-3210-4B2F-BC39-98029C1D3528}" id="{8745B7A7-1A2A-4616-8341-ED5CCB1F1106}">
    <text>Coinbase supported</text>
  </threadedComment>
  <threadedComment ref="K18" dT="2025-11-07T23:45:15.93" personId="{1706CDD9-3210-4B2F-BC39-98029C1D3528}" id="{BA9BA68C-CBD1-4A7A-840F-3B67396A7F7A}">
    <text>Coinbase, Or based on an Ethereum address</text>
  </threadedComment>
  <threadedComment ref="K23" dT="2025-11-07T23:42:28.27" personId="{1706CDD9-3210-4B2F-BC39-98029C1D3528}" id="{A6AD975A-4FE3-4BEF-8224-3E72BD935898}">
    <text>In theory, see https://help.spendee.com/article/179-automatic-categorization (but did not work in my case)</text>
    <extLst>
      <x:ext xmlns:xltc2="http://schemas.microsoft.com/office/spreadsheetml/2020/threadedcomments2" uri="{F7C98A9C-CBB3-438F-8F68-D28B6AF4A901}">
        <xltc2:checksum>2247507576</xltc2:checksum>
        <xltc2:hyperlink startIndex="15" length="61" url="https://help.spendee.com/article/179-automatic-categorization"/>
      </x:ext>
    </extLst>
  </threadedComment>
  <threadedComment ref="O23" dT="2025-11-07T23:42:28.27" personId="{1706CDD9-3210-4B2F-BC39-98029C1D3528}" id="{0A2DF007-10A6-4D69-9143-00358E3A3019}">
    <text>In theory yes, but it only seems to have worked for the most recent imported transactions and in total less then 20% got any categorisation, no points</text>
  </threadedComment>
  <threadedComment ref="K25" dT="2025-11-08T00:08:48.23" personId="{1706CDD9-3210-4B2F-BC39-98029C1D3528}" id="{005373BF-A867-4647-BEC6-F37AC5018AAF}">
    <text>Transfer is just a category</text>
  </threadedComment>
  <threadedComment ref="C26" dT="2025-11-07T23:41:20.74" personId="{1706CDD9-3210-4B2F-BC39-98029C1D3528}" id="{908038B0-9453-4264-9277-B616ADE5E14E}">
    <text>There is an option to reset modifications</text>
  </threadedComment>
  <threadedComment ref="I26" dT="2025-11-07T23:41:43.73" personId="{1706CDD9-3210-4B2F-BC39-98029C1D3528}" id="{D9F5B08E-48D7-40B9-822F-BEC98795D27A}">
    <text>Only partly possible</text>
  </threadedComment>
  <threadedComment ref="K26" dT="2025-11-07T23:41:43.73" personId="{1706CDD9-3210-4B2F-BC39-98029C1D3528}" id="{258AB77D-03C5-4DC3-8DB6-8600ED49AA04}">
    <text>Only partly possible</text>
  </threadedComment>
  <threadedComment ref="M26" dT="2025-11-07T23:41:43.73" personId="{1706CDD9-3210-4B2F-BC39-98029C1D3528}" id="{9142FD9E-E6EC-46E9-BFB0-958A32D9D205}">
    <text>Only partly possible</text>
  </threadedComment>
  <threadedComment ref="M27" dT="2025-11-07T23:40:44.96" personId="{1706CDD9-3210-4B2F-BC39-98029C1D3528}" id="{B30EB8FD-DC46-4BF1-AE1E-B4E2C028744F}">
    <text>You need to click on add recurring transactions for the suggestions to show up</text>
  </threadedComment>
  <threadedComment ref="E30" dT="2025-11-07T23:40:02.98" personId="{1706CDD9-3210-4B2F-BC39-98029C1D3528}" id="{70DEAC9D-0B4B-4912-862E-ADE4DF5AF92C}">
    <text>This is an iOS only app and Google Pay is not available on iOS, so full points to not brake the calculation</text>
  </threadedComment>
  <threadedComment ref="C33" dT="2025-11-07T23:38:48.96" personId="{1706CDD9-3210-4B2F-BC39-98029C1D3528}" id="{192D6EB2-0594-4258-A500-6A8B3CD66864}">
    <text>Requires the additional Split App</text>
  </threadedComment>
  <threadedComment ref="G35" dT="2025-11-07T23:38:27.50" personId="{1706CDD9-3210-4B2F-BC39-98029C1D3528}" id="{EE3AC51A-DA25-45A3-BE49-5E534FEBFB8F}">
    <text>Only Subcategories can be added</text>
  </threadedComment>
  <threadedComment ref="I35" dT="2025-11-07T23:38:27.50" personId="{1706CDD9-3210-4B2F-BC39-98029C1D3528}" id="{77A77C73-691C-44BA-9DF6-C1875921357E}">
    <text>Only Subcategories can be added</text>
  </threadedComment>
  <threadedComment ref="C48" dT="2025-11-07T23:37:04.57" personId="{1706CDD9-3210-4B2F-BC39-98029C1D3528}" id="{E6D138F2-19DF-49DC-B884-F51DA886E4D7}">
    <text>It is possible to add an upcoming transaction, but no „real“ transactions</text>
  </threadedComment>
  <threadedComment ref="G48" dT="2025-11-07T23:37:37.75" personId="{1706CDD9-3210-4B2F-BC39-98029C1D3528}" id="{E1AC30D8-9986-4FE3-BA04-299AB006D817}">
    <text>Not applicable, full points</text>
  </threadedComment>
  <threadedComment ref="I53" dT="2025-11-07T23:33:16.61" personId="{1706CDD9-3210-4B2F-BC39-98029C1D3528}" id="{FCC14F3F-E8FE-4791-B672-5320494A7D39}">
    <text>Only images</text>
  </threadedComment>
  <threadedComment ref="K53" dT="2025-11-07T23:33:16.61" personId="{1706CDD9-3210-4B2F-BC39-98029C1D3528}" id="{B31F1488-0468-4DC8-83A2-58A57B9F4C23}">
    <text>Only images</text>
  </threadedComment>
  <threadedComment ref="C55" dT="2025-11-07T23:17:34.29" personId="{1706CDD9-3210-4B2F-BC39-98029C1D3528}" id="{73E3256F-4437-4756-9A8C-E1DF1CD58424}">
    <text>Requires the free additional "Split" app</text>
  </threadedComment>
  <threadedComment ref="K55" dT="2025-11-07T23:17:13.46" personId="{1706CDD9-3210-4B2F-BC39-98029C1D3528}" id="{E1124B90-AA57-4166-8CF3-5EE44158BEB5}">
    <text>Only possible for manual transactions, so only half points</text>
  </threadedComment>
  <threadedComment ref="E57" dT="2025-11-07T23:22:58.61" personId="{1706CDD9-3210-4B2F-BC39-98029C1D3528}" id="{897E010B-3429-44D9-9340-AD6E17D221C2}">
    <text>Only for manual accounts!</text>
  </threadedComment>
  <threadedComment ref="I57" dT="2025-11-07T23:23:41.56" personId="{1706CDD9-3210-4B2F-BC39-98029C1D3528}" id="{6B134EC7-C13D-479A-A871-64C96337ACF9}">
    <text>This is only possible for non synced accounts, but you can stop the sync, import and then connect it again.</text>
  </threadedComment>
  <threadedComment ref="K60" dT="2025-11-07T23:20:01.52" personId="{1706CDD9-3210-4B2F-BC39-98029C1D3528}" id="{1BE6A440-B2B6-4F26-8028-5A20D05A9244}">
    <text>Only possible in the web app, only half points</text>
  </threadedComment>
  <threadedComment ref="I62" dT="2025-11-07T23:20:01.52" personId="{1706CDD9-3210-4B2F-BC39-98029C1D3528}" id="{7F20E0A1-9D82-4DA2-A380-3B60E25C9CC9}">
    <text>Only possible in the web app, only half points</text>
  </threadedComment>
  <threadedComment ref="K62" dT="2025-11-07T23:20:01.52" personId="{1706CDD9-3210-4B2F-BC39-98029C1D3528}" id="{9001D6CD-5888-46E8-B394-3016DE0413FF}">
    <text>Only possible in the web app, only half points</text>
  </threadedComment>
  <threadedComment ref="K64" dT="2025-11-07T23:20:01.52" personId="{1706CDD9-3210-4B2F-BC39-98029C1D3528}" id="{C6F5DC47-70D2-45EF-BEF1-FEC7E0672CE7}">
    <text>Only possible in the web app, only half points</text>
  </threadedComment>
  <threadedComment ref="K65" dT="2025-11-07T23:19:56.75" personId="{1706CDD9-3210-4B2F-BC39-98029C1D3528}" id="{9C89BFBA-CA2D-4D07-B634-9EDEEB03998D}">
    <text>Only possible in the web app, only half points</text>
  </threadedComment>
  <threadedComment ref="K69" dT="2025-11-07T23:19:31.26" personId="{1706CDD9-3210-4B2F-BC39-98029C1D3528}" id="{1B7E405E-8D16-4284-A06A-A185F2C515D9}">
    <text>Only possible in the web app, only half points</text>
  </threadedComment>
  <threadedComment ref="K70" dT="2025-11-07T23:18:56.28" personId="{1706CDD9-3210-4B2F-BC39-98029C1D3528}" id="{AA0DFE2B-7349-405C-859B-F8159DE613AC}">
    <text>Only possible in the web app, only half points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62C66-29F4-41A8-8A0E-832E8074DC66}">
  <dimension ref="A1:P80"/>
  <sheetViews>
    <sheetView tabSelected="1" topLeftCell="A3" zoomScale="115" zoomScaleNormal="115" workbookViewId="0">
      <selection activeCell="T16" sqref="T16"/>
    </sheetView>
  </sheetViews>
  <sheetFormatPr baseColWidth="10" defaultRowHeight="14.5" x14ac:dyDescent="0.35"/>
  <cols>
    <col min="1" max="1" width="10.36328125" bestFit="1" customWidth="1"/>
    <col min="2" max="2" width="66.81640625" customWidth="1"/>
    <col min="3" max="3" width="11.453125" customWidth="1"/>
    <col min="4" max="4" width="2.90625" customWidth="1"/>
    <col min="5" max="5" width="14.36328125" bestFit="1" customWidth="1"/>
    <col min="6" max="6" width="3.7265625" customWidth="1"/>
    <col min="7" max="7" width="18.453125" bestFit="1" customWidth="1"/>
    <col min="8" max="8" width="4.08984375" customWidth="1"/>
    <col min="9" max="9" width="28.08984375" customWidth="1"/>
    <col min="10" max="10" width="4" customWidth="1"/>
    <col min="11" max="11" width="22.6328125" bestFit="1" customWidth="1"/>
    <col min="12" max="12" width="4.26953125" customWidth="1"/>
    <col min="13" max="13" width="8.54296875" bestFit="1" customWidth="1"/>
    <col min="14" max="14" width="3.54296875" customWidth="1"/>
    <col min="15" max="15" width="21.90625" bestFit="1" customWidth="1"/>
    <col min="16" max="16" width="3.81640625" customWidth="1"/>
  </cols>
  <sheetData>
    <row r="1" spans="1:16" ht="24" thickBot="1" x14ac:dyDescent="0.6">
      <c r="B1" s="19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8"/>
    </row>
    <row r="2" spans="1:16" ht="18.5" x14ac:dyDescent="0.45">
      <c r="A2" s="12" t="s">
        <v>90</v>
      </c>
      <c r="B2" s="1" t="s">
        <v>1</v>
      </c>
      <c r="C2" s="1" t="s">
        <v>19</v>
      </c>
      <c r="D2" s="1"/>
      <c r="E2" s="1" t="s">
        <v>20</v>
      </c>
      <c r="F2" s="1"/>
      <c r="G2" s="1" t="s">
        <v>44</v>
      </c>
      <c r="H2" s="1"/>
      <c r="I2" s="1" t="s">
        <v>21</v>
      </c>
      <c r="J2" s="1"/>
      <c r="K2" s="1" t="s">
        <v>22</v>
      </c>
      <c r="L2" s="1"/>
      <c r="M2" s="1" t="s">
        <v>40</v>
      </c>
      <c r="N2" s="1"/>
      <c r="O2" s="1" t="s">
        <v>42</v>
      </c>
      <c r="P2" s="4"/>
    </row>
    <row r="3" spans="1:16" ht="18.5" x14ac:dyDescent="0.45">
      <c r="A3" s="13"/>
      <c r="B3" s="18" t="s">
        <v>2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7"/>
    </row>
    <row r="4" spans="1:16" ht="41" customHeight="1" x14ac:dyDescent="0.35">
      <c r="A4" s="13"/>
      <c r="B4" s="10" t="s">
        <v>10</v>
      </c>
      <c r="C4" s="2" t="s">
        <v>27</v>
      </c>
      <c r="D4" s="2"/>
      <c r="E4" s="2" t="s">
        <v>47</v>
      </c>
      <c r="F4" s="2"/>
      <c r="G4" s="2" t="s">
        <v>45</v>
      </c>
      <c r="H4" s="2"/>
      <c r="I4" s="2" t="s">
        <v>38</v>
      </c>
      <c r="J4" s="2"/>
      <c r="K4" s="2" t="s">
        <v>39</v>
      </c>
      <c r="L4" s="2"/>
      <c r="M4" s="2" t="s">
        <v>41</v>
      </c>
      <c r="N4" s="2"/>
      <c r="O4" s="2" t="s">
        <v>43</v>
      </c>
      <c r="P4" s="3"/>
    </row>
    <row r="5" spans="1:16" x14ac:dyDescent="0.35">
      <c r="A5" s="13">
        <v>3</v>
      </c>
      <c r="B5" s="10" t="s">
        <v>77</v>
      </c>
      <c r="C5" s="2" t="b">
        <v>0</v>
      </c>
      <c r="D5" s="2">
        <f>ROUND(N(C5)*(5-$A5)*10,0)</f>
        <v>0</v>
      </c>
      <c r="E5" s="2" t="b">
        <v>0</v>
      </c>
      <c r="F5" s="2">
        <f>ROUND(N(E5)*(5-$A5)*10,0)</f>
        <v>0</v>
      </c>
      <c r="G5" s="2" t="b">
        <v>1</v>
      </c>
      <c r="H5" s="2">
        <f>ROUND(N(G5)*(5-$A5)*10,0)</f>
        <v>20</v>
      </c>
      <c r="I5" s="2" t="b">
        <v>0</v>
      </c>
      <c r="J5" s="2">
        <f>ROUND(N(I5)*(5-$A5)*10,0)</f>
        <v>0</v>
      </c>
      <c r="K5" s="2" t="b">
        <v>0</v>
      </c>
      <c r="L5" s="2">
        <f>ROUND(N(K5)*(5-$A5)*10,0)</f>
        <v>0</v>
      </c>
      <c r="M5" s="2" t="b">
        <v>0</v>
      </c>
      <c r="N5" s="2">
        <f>ROUND(N(M5)*(5-$A5)*10,0)</f>
        <v>0</v>
      </c>
      <c r="O5" s="2" t="b">
        <v>0</v>
      </c>
      <c r="P5" s="3">
        <f>ROUND(N(O5)*(5-$A5)*10,0)</f>
        <v>0</v>
      </c>
    </row>
    <row r="6" spans="1:16" ht="16" customHeight="1" x14ac:dyDescent="0.4">
      <c r="A6" s="13"/>
      <c r="B6" s="11" t="s">
        <v>23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4"/>
    </row>
    <row r="7" spans="1:16" x14ac:dyDescent="0.35">
      <c r="A7" s="13">
        <v>1</v>
      </c>
      <c r="B7" s="10" t="s">
        <v>83</v>
      </c>
      <c r="C7" s="2" t="b">
        <v>1</v>
      </c>
      <c r="D7" s="2">
        <f t="shared" ref="D7" si="0">ROUND(N(C7)*(5-$A7)*10,0)</f>
        <v>40</v>
      </c>
      <c r="E7" s="2" t="b">
        <v>1</v>
      </c>
      <c r="F7" s="2">
        <f t="shared" ref="F7:F69" si="1">ROUND(N(E7)*(5-$A7)*10,0)</f>
        <v>40</v>
      </c>
      <c r="G7" s="2" t="b">
        <v>1</v>
      </c>
      <c r="H7" s="2">
        <f t="shared" ref="H7" si="2">ROUND(N(G7)*(5-$A7)*10,0)</f>
        <v>40</v>
      </c>
      <c r="I7" s="2" t="b">
        <v>1</v>
      </c>
      <c r="J7" s="2">
        <f t="shared" ref="J7" si="3">ROUND(N(I7)*(5-$A7)*10,0)</f>
        <v>40</v>
      </c>
      <c r="K7" s="2" t="b">
        <v>1</v>
      </c>
      <c r="L7" s="2">
        <f t="shared" ref="L7" si="4">ROUND(N(K7)*(5-$A7)*10,0)</f>
        <v>40</v>
      </c>
      <c r="M7" s="2" t="b">
        <v>1</v>
      </c>
      <c r="N7" s="2">
        <f t="shared" ref="N7:P7" si="5">ROUND(N(M7)*(5-$A7)*10,0)</f>
        <v>40</v>
      </c>
      <c r="O7" s="2" t="b">
        <v>1</v>
      </c>
      <c r="P7" s="3">
        <f t="shared" si="5"/>
        <v>40</v>
      </c>
    </row>
    <row r="8" spans="1:16" ht="43.5" x14ac:dyDescent="0.35">
      <c r="A8" s="13">
        <v>1</v>
      </c>
      <c r="B8" s="10" t="s">
        <v>82</v>
      </c>
      <c r="C8" s="2" t="b">
        <v>1</v>
      </c>
      <c r="D8" s="2">
        <f t="shared" ref="D8" si="6">ROUND(N(C8)*(5-$A8)*10,0)</f>
        <v>40</v>
      </c>
      <c r="E8" s="2" t="b">
        <v>1</v>
      </c>
      <c r="F8" s="2">
        <f t="shared" si="1"/>
        <v>40</v>
      </c>
      <c r="G8" s="2" t="b">
        <v>1</v>
      </c>
      <c r="H8" s="2">
        <f t="shared" ref="H8" si="7">ROUND(N(G8)*(5-$A8)*10,0)</f>
        <v>40</v>
      </c>
      <c r="I8" s="2" t="b">
        <v>1</v>
      </c>
      <c r="J8" s="2">
        <f t="shared" ref="J8" si="8">ROUND(N(I8)*(5-$A8)*10,0)</f>
        <v>40</v>
      </c>
      <c r="K8" s="2" t="b">
        <v>1</v>
      </c>
      <c r="L8" s="2">
        <f t="shared" ref="L8" si="9">ROUND(N(K8)*(5-$A8)*10,0)</f>
        <v>40</v>
      </c>
      <c r="M8" s="2" t="b">
        <v>1</v>
      </c>
      <c r="N8" s="2">
        <f t="shared" ref="N8:P8" si="10">ROUND(N(M8)*(5-$A8)*10,0)</f>
        <v>40</v>
      </c>
      <c r="O8" s="2" t="b">
        <v>1</v>
      </c>
      <c r="P8" s="3">
        <f t="shared" si="10"/>
        <v>40</v>
      </c>
    </row>
    <row r="9" spans="1:16" x14ac:dyDescent="0.35">
      <c r="A9" s="13">
        <v>1</v>
      </c>
      <c r="B9" s="10" t="s">
        <v>78</v>
      </c>
      <c r="C9" s="2" t="b">
        <v>1</v>
      </c>
      <c r="D9" s="2">
        <f t="shared" ref="D9" si="11">ROUND(N(C9)*(5-$A9)*10,0)</f>
        <v>40</v>
      </c>
      <c r="E9" s="2" t="b">
        <v>1</v>
      </c>
      <c r="F9" s="2">
        <f t="shared" si="1"/>
        <v>40</v>
      </c>
      <c r="G9" s="2" t="b">
        <v>1</v>
      </c>
      <c r="H9" s="2">
        <f t="shared" ref="H9" si="12">ROUND(N(G9)*(5-$A9)*10,0)</f>
        <v>40</v>
      </c>
      <c r="I9" s="2" t="b">
        <v>1</v>
      </c>
      <c r="J9" s="2">
        <f t="shared" ref="J9" si="13">ROUND(N(I9)*(5-$A9)*10,0)</f>
        <v>40</v>
      </c>
      <c r="K9" s="2" t="b">
        <v>1</v>
      </c>
      <c r="L9" s="2">
        <f t="shared" ref="L9" si="14">ROUND(N(K9)*(5-$A9)*10,0)</f>
        <v>40</v>
      </c>
      <c r="M9" s="2" t="b">
        <v>1</v>
      </c>
      <c r="N9" s="2">
        <f t="shared" ref="N9:P9" si="15">ROUND(N(M9)*(5-$A9)*10,0)</f>
        <v>40</v>
      </c>
      <c r="O9" s="2" t="b">
        <v>1</v>
      </c>
      <c r="P9" s="3">
        <f t="shared" si="15"/>
        <v>40</v>
      </c>
    </row>
    <row r="10" spans="1:16" x14ac:dyDescent="0.35">
      <c r="A10" s="13">
        <v>1</v>
      </c>
      <c r="B10" s="10" t="s">
        <v>79</v>
      </c>
      <c r="C10" s="2" t="b">
        <v>1</v>
      </c>
      <c r="D10" s="2">
        <f t="shared" ref="D10" si="16">ROUND(N(C10)*(5-$A10)*10,0)</f>
        <v>40</v>
      </c>
      <c r="E10" s="2" t="b">
        <v>1</v>
      </c>
      <c r="F10" s="2">
        <f t="shared" si="1"/>
        <v>40</v>
      </c>
      <c r="G10" s="2" t="b">
        <v>1</v>
      </c>
      <c r="H10" s="2">
        <f t="shared" ref="H10" si="17">ROUND(N(G10)*(5-$A10)*10,0)</f>
        <v>40</v>
      </c>
      <c r="I10" s="2" t="b">
        <v>1</v>
      </c>
      <c r="J10" s="2">
        <f t="shared" ref="J10" si="18">ROUND(N(I10)*(5-$A10)*10,0)</f>
        <v>40</v>
      </c>
      <c r="K10" s="2" t="b">
        <v>1</v>
      </c>
      <c r="L10" s="2">
        <f t="shared" ref="L10" si="19">ROUND(N(K10)*(5-$A10)*10,0)</f>
        <v>40</v>
      </c>
      <c r="M10" s="2" t="b">
        <v>1</v>
      </c>
      <c r="N10" s="2">
        <f t="shared" ref="N10:P10" si="20">ROUND(N(M10)*(5-$A10)*10,0)</f>
        <v>40</v>
      </c>
      <c r="O10" s="2" t="b">
        <v>1</v>
      </c>
      <c r="P10" s="3">
        <f t="shared" si="20"/>
        <v>40</v>
      </c>
    </row>
    <row r="11" spans="1:16" x14ac:dyDescent="0.35">
      <c r="A11" s="13">
        <v>1</v>
      </c>
      <c r="B11" s="10" t="s">
        <v>80</v>
      </c>
      <c r="C11" s="2" t="b">
        <v>1</v>
      </c>
      <c r="D11" s="2">
        <f t="shared" ref="D11" si="21">ROUND(N(C11)*(5-$A11)*10,0)</f>
        <v>40</v>
      </c>
      <c r="E11" s="2" t="b">
        <v>1</v>
      </c>
      <c r="F11" s="2">
        <f t="shared" si="1"/>
        <v>40</v>
      </c>
      <c r="G11" s="2" t="b">
        <v>1</v>
      </c>
      <c r="H11" s="2">
        <f t="shared" ref="H11" si="22">ROUND(N(G11)*(5-$A11)*10,0)</f>
        <v>40</v>
      </c>
      <c r="I11" s="2" t="b">
        <v>1</v>
      </c>
      <c r="J11" s="2">
        <f t="shared" ref="J11" si="23">ROUND(N(I11)*(5-$A11)*10,0)</f>
        <v>40</v>
      </c>
      <c r="K11" s="2" t="b">
        <v>1</v>
      </c>
      <c r="L11" s="2">
        <f t="shared" ref="L11" si="24">ROUND(N(K11)*(5-$A11)*10,0)</f>
        <v>40</v>
      </c>
      <c r="M11" s="2" t="b">
        <v>1</v>
      </c>
      <c r="N11" s="2">
        <f t="shared" ref="N11:P11" si="25">ROUND(N(M11)*(5-$A11)*10,0)</f>
        <v>40</v>
      </c>
      <c r="O11" s="2" t="b">
        <v>1</v>
      </c>
      <c r="P11" s="3">
        <f t="shared" si="25"/>
        <v>40</v>
      </c>
    </row>
    <row r="12" spans="1:16" x14ac:dyDescent="0.35">
      <c r="A12" s="13">
        <v>1</v>
      </c>
      <c r="B12" s="10" t="s">
        <v>81</v>
      </c>
      <c r="C12" s="2" t="b">
        <v>1</v>
      </c>
      <c r="D12" s="2">
        <f t="shared" ref="D12" si="26">ROUND(N(C12)*(5-$A12)*10,0)</f>
        <v>40</v>
      </c>
      <c r="E12" s="2" t="b">
        <v>0</v>
      </c>
      <c r="F12" s="2">
        <f t="shared" si="1"/>
        <v>0</v>
      </c>
      <c r="G12" s="2" t="b">
        <v>1</v>
      </c>
      <c r="H12" s="2">
        <f t="shared" ref="H12" si="27">ROUND(N(G12)*(5-$A12)*10,0)</f>
        <v>40</v>
      </c>
      <c r="I12" s="2" t="b">
        <v>1</v>
      </c>
      <c r="J12" s="2">
        <f t="shared" ref="J12" si="28">ROUND(N(I12)*(5-$A12)*10,0)</f>
        <v>40</v>
      </c>
      <c r="K12" s="2" t="b">
        <v>1</v>
      </c>
      <c r="L12" s="2">
        <f t="shared" ref="L12" si="29">ROUND(N(K12)*(5-$A12)*10,0)</f>
        <v>40</v>
      </c>
      <c r="M12" s="2" t="b">
        <v>0</v>
      </c>
      <c r="N12" s="2">
        <f t="shared" ref="N12:P12" si="30">ROUND(N(M12)*(5-$A12)*10,0)</f>
        <v>0</v>
      </c>
      <c r="O12" s="2" t="b">
        <v>0</v>
      </c>
      <c r="P12" s="3">
        <f t="shared" si="30"/>
        <v>0</v>
      </c>
    </row>
    <row r="13" spans="1:16" ht="16" x14ac:dyDescent="0.4">
      <c r="A13" s="13"/>
      <c r="B13" s="11" t="s">
        <v>24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4"/>
    </row>
    <row r="14" spans="1:16" x14ac:dyDescent="0.35">
      <c r="A14" s="13">
        <v>1</v>
      </c>
      <c r="B14" s="10" t="s">
        <v>4</v>
      </c>
      <c r="C14" s="2" t="b">
        <v>1</v>
      </c>
      <c r="D14" s="2">
        <f t="shared" ref="D14" si="31">ROUND(N(C14)*(5-$A14)*10,0)</f>
        <v>40</v>
      </c>
      <c r="E14" s="2" t="b">
        <v>1</v>
      </c>
      <c r="F14" s="2">
        <f t="shared" si="1"/>
        <v>40</v>
      </c>
      <c r="G14" s="2" t="b">
        <v>1</v>
      </c>
      <c r="H14" s="2">
        <f t="shared" ref="H14" si="32">ROUND(N(G14)*(5-$A14)*10,0)</f>
        <v>40</v>
      </c>
      <c r="I14" s="2" t="b">
        <v>1</v>
      </c>
      <c r="J14" s="2">
        <f t="shared" ref="J14" si="33">ROUND(N(I14)*(5-$A14)*10,0)</f>
        <v>40</v>
      </c>
      <c r="K14" s="2" t="b">
        <v>1</v>
      </c>
      <c r="L14" s="2">
        <f t="shared" ref="L14" si="34">ROUND(N(K14)*(5-$A14)*10,0)</f>
        <v>40</v>
      </c>
      <c r="M14" s="2" t="b">
        <v>1</v>
      </c>
      <c r="N14" s="2">
        <f t="shared" ref="N14:P14" si="35">ROUND(N(M14)*(5-$A14)*10,0)</f>
        <v>40</v>
      </c>
      <c r="O14" s="2" t="b">
        <v>1</v>
      </c>
      <c r="P14" s="3">
        <f t="shared" si="35"/>
        <v>40</v>
      </c>
    </row>
    <row r="15" spans="1:16" x14ac:dyDescent="0.35">
      <c r="A15" s="13">
        <v>2</v>
      </c>
      <c r="B15" s="10" t="s">
        <v>5</v>
      </c>
      <c r="C15" s="2" t="b">
        <v>1</v>
      </c>
      <c r="D15" s="2">
        <f t="shared" ref="D15" si="36">ROUND(N(C15)*(5-$A15)*10,0)</f>
        <v>30</v>
      </c>
      <c r="E15" s="9" t="b">
        <v>1</v>
      </c>
      <c r="F15" s="2">
        <f t="shared" si="1"/>
        <v>30</v>
      </c>
      <c r="G15" s="9" t="b">
        <v>1</v>
      </c>
      <c r="H15" s="2">
        <f t="shared" ref="H15" si="37">ROUND(N(G15)*(5-$A15)*10,0)</f>
        <v>30</v>
      </c>
      <c r="I15" s="2" t="b">
        <v>1</v>
      </c>
      <c r="J15" s="2">
        <f t="shared" ref="J15" si="38">ROUND(N(I15)*(5-$A15)*10,0)</f>
        <v>30</v>
      </c>
      <c r="K15" s="9" t="b">
        <v>1</v>
      </c>
      <c r="L15" s="2">
        <f t="shared" ref="L15" si="39">ROUND(N(K15)*(5-$A15)*10,0)</f>
        <v>30</v>
      </c>
      <c r="M15" s="9" t="b">
        <v>1</v>
      </c>
      <c r="N15" s="2">
        <f t="shared" ref="N15:P15" si="40">ROUND(N(M15)*(5-$A15)*10,0)</f>
        <v>30</v>
      </c>
      <c r="O15" s="9" t="b">
        <v>1</v>
      </c>
      <c r="P15" s="3">
        <f t="shared" si="40"/>
        <v>30</v>
      </c>
    </row>
    <row r="16" spans="1:16" x14ac:dyDescent="0.35">
      <c r="A16" s="13">
        <v>2</v>
      </c>
      <c r="B16" s="10" t="s">
        <v>30</v>
      </c>
      <c r="C16" s="2" t="b">
        <v>1</v>
      </c>
      <c r="D16" s="2">
        <f t="shared" ref="D16" si="41">ROUND(N(C16)*(5-$A16)*10,0)</f>
        <v>30</v>
      </c>
      <c r="E16" s="9" t="b">
        <v>1</v>
      </c>
      <c r="F16" s="2">
        <f t="shared" si="1"/>
        <v>30</v>
      </c>
      <c r="G16" s="9" t="b">
        <v>1</v>
      </c>
      <c r="H16" s="2">
        <f t="shared" ref="H16" si="42">ROUND(N(G16)*(5-$A16)*10,0)</f>
        <v>30</v>
      </c>
      <c r="I16" s="9" t="b">
        <v>1</v>
      </c>
      <c r="J16" s="2">
        <f t="shared" ref="J16" si="43">ROUND(N(I16)*(5-$A16)*10,0)</f>
        <v>30</v>
      </c>
      <c r="K16" s="9" t="b">
        <v>1</v>
      </c>
      <c r="L16" s="2">
        <f t="shared" ref="L16" si="44">ROUND(N(K16)*(5-$A16)*10,0)</f>
        <v>30</v>
      </c>
      <c r="M16" s="9" t="b">
        <v>1</v>
      </c>
      <c r="N16" s="2">
        <f t="shared" ref="N16:P16" si="45">ROUND(N(M16)*(5-$A16)*10,0)</f>
        <v>30</v>
      </c>
      <c r="O16" s="9" t="b">
        <v>1</v>
      </c>
      <c r="P16" s="3">
        <f t="shared" si="45"/>
        <v>30</v>
      </c>
    </row>
    <row r="17" spans="1:16" x14ac:dyDescent="0.35">
      <c r="A17" s="13">
        <v>2</v>
      </c>
      <c r="B17" s="10" t="s">
        <v>3</v>
      </c>
      <c r="C17" s="2" t="b">
        <v>1</v>
      </c>
      <c r="D17" s="2">
        <f t="shared" ref="D17" si="46">ROUND(N(C17)*(5-$A17)*10,0)</f>
        <v>30</v>
      </c>
      <c r="E17" s="9" t="b">
        <v>0</v>
      </c>
      <c r="F17" s="2">
        <f t="shared" si="1"/>
        <v>0</v>
      </c>
      <c r="G17" s="2" t="b">
        <v>1</v>
      </c>
      <c r="H17" s="2">
        <f t="shared" ref="H17" si="47">ROUND(N(G17)*(5-$A17)*10,0)</f>
        <v>30</v>
      </c>
      <c r="I17" s="2" t="b">
        <v>1</v>
      </c>
      <c r="J17" s="2">
        <f t="shared" ref="J17" si="48">ROUND(N(I17)*(5-$A17)*10,0)</f>
        <v>30</v>
      </c>
      <c r="K17" s="9" t="b">
        <v>0</v>
      </c>
      <c r="L17" s="2">
        <f t="shared" ref="L17" si="49">ROUND(N(K17)*(5-$A17)*10,0)</f>
        <v>0</v>
      </c>
      <c r="M17" s="9" t="b">
        <v>0</v>
      </c>
      <c r="N17" s="2">
        <f t="shared" ref="N17:P17" si="50">ROUND(N(M17)*(5-$A17)*10,0)</f>
        <v>0</v>
      </c>
      <c r="O17" s="9" t="b">
        <v>0</v>
      </c>
      <c r="P17" s="3">
        <f t="shared" si="50"/>
        <v>0</v>
      </c>
    </row>
    <row r="18" spans="1:16" x14ac:dyDescent="0.35">
      <c r="A18" s="13">
        <v>3</v>
      </c>
      <c r="B18" s="10" t="s">
        <v>6</v>
      </c>
      <c r="C18" s="2" t="b">
        <v>1</v>
      </c>
      <c r="D18" s="2">
        <f t="shared" ref="D18" si="51">ROUND(N(C18)*(5-$A18)*10,0)</f>
        <v>20</v>
      </c>
      <c r="E18" s="9" t="b">
        <v>0</v>
      </c>
      <c r="F18" s="2">
        <f t="shared" si="1"/>
        <v>0</v>
      </c>
      <c r="G18" s="2" t="b">
        <v>1</v>
      </c>
      <c r="H18" s="2">
        <f t="shared" ref="H18" si="52">ROUND(N(G18)*(5-$A18)*10,0)</f>
        <v>20</v>
      </c>
      <c r="I18" s="2" t="b">
        <v>0</v>
      </c>
      <c r="J18" s="2">
        <f t="shared" ref="J18" si="53">ROUND(N(I18)*(5-$A18)*10,0)</f>
        <v>0</v>
      </c>
      <c r="K18" s="2" t="b">
        <v>1</v>
      </c>
      <c r="L18" s="2">
        <f t="shared" ref="L18" si="54">ROUND(N(K18)*(5-$A18)*10,0)</f>
        <v>20</v>
      </c>
      <c r="M18" s="2" t="b">
        <v>0</v>
      </c>
      <c r="N18" s="2">
        <f t="shared" ref="N18:P18" si="55">ROUND(N(M18)*(5-$A18)*10,0)</f>
        <v>0</v>
      </c>
      <c r="O18" s="2" t="b">
        <v>0</v>
      </c>
      <c r="P18" s="3">
        <f t="shared" si="55"/>
        <v>0</v>
      </c>
    </row>
    <row r="19" spans="1:16" x14ac:dyDescent="0.35">
      <c r="A19" s="13">
        <v>3</v>
      </c>
      <c r="B19" s="10" t="s">
        <v>7</v>
      </c>
      <c r="C19" s="2" t="b">
        <v>1</v>
      </c>
      <c r="D19" s="2">
        <f t="shared" ref="D19" si="56">ROUND(N(C19)*(5-$A19)*10,0)</f>
        <v>20</v>
      </c>
      <c r="E19" s="2" t="b">
        <v>1</v>
      </c>
      <c r="F19" s="2">
        <f t="shared" si="1"/>
        <v>20</v>
      </c>
      <c r="G19" s="2" t="b">
        <v>1</v>
      </c>
      <c r="H19" s="2">
        <f t="shared" ref="H19" si="57">ROUND(N(G19)*(5-$A19)*10,0)</f>
        <v>20</v>
      </c>
      <c r="I19" s="2" t="b">
        <v>1</v>
      </c>
      <c r="J19" s="2">
        <f t="shared" ref="J19" si="58">ROUND(N(I19)*(5-$A19)*10,0)</f>
        <v>20</v>
      </c>
      <c r="K19" s="2" t="b">
        <v>1</v>
      </c>
      <c r="L19" s="2">
        <f t="shared" ref="L19" si="59">ROUND(N(K19)*(5-$A19)*10,0)</f>
        <v>20</v>
      </c>
      <c r="M19" s="2" t="b">
        <v>1</v>
      </c>
      <c r="N19" s="2">
        <f t="shared" ref="N19:P19" si="60">ROUND(N(M19)*(5-$A19)*10,0)</f>
        <v>20</v>
      </c>
      <c r="O19" s="2" t="b">
        <v>1</v>
      </c>
      <c r="P19" s="3">
        <f t="shared" si="60"/>
        <v>20</v>
      </c>
    </row>
    <row r="20" spans="1:16" x14ac:dyDescent="0.35">
      <c r="A20" s="13">
        <v>4</v>
      </c>
      <c r="B20" s="10" t="s">
        <v>8</v>
      </c>
      <c r="C20" s="2" t="b">
        <v>0</v>
      </c>
      <c r="D20" s="2">
        <f t="shared" ref="D20" si="61">ROUND(N(C20)*(5-$A20)*10,0)</f>
        <v>0</v>
      </c>
      <c r="E20" s="2" t="b">
        <v>1</v>
      </c>
      <c r="F20" s="2">
        <f t="shared" si="1"/>
        <v>10</v>
      </c>
      <c r="G20" s="2" t="b">
        <v>0</v>
      </c>
      <c r="H20" s="2">
        <f t="shared" ref="H20" si="62">ROUND(N(G20)*(5-$A20)*10,0)</f>
        <v>0</v>
      </c>
      <c r="I20" s="2" t="b">
        <v>0</v>
      </c>
      <c r="J20" s="2">
        <f t="shared" ref="J20" si="63">ROUND(N(I20)*(5-$A20)*10,0)</f>
        <v>0</v>
      </c>
      <c r="K20" s="2" t="b">
        <v>0</v>
      </c>
      <c r="L20" s="2">
        <f t="shared" ref="L20" si="64">ROUND(N(K20)*(5-$A20)*10,0)</f>
        <v>0</v>
      </c>
      <c r="M20" s="2" t="b">
        <v>1</v>
      </c>
      <c r="N20" s="2">
        <f t="shared" ref="N20:P20" si="65">ROUND(N(M20)*(5-$A20)*10,0)</f>
        <v>10</v>
      </c>
      <c r="O20" s="2" t="b">
        <v>1</v>
      </c>
      <c r="P20" s="3">
        <f t="shared" si="65"/>
        <v>10</v>
      </c>
    </row>
    <row r="21" spans="1:16" x14ac:dyDescent="0.35">
      <c r="A21" s="13">
        <v>4</v>
      </c>
      <c r="B21" s="10" t="s">
        <v>9</v>
      </c>
      <c r="C21" s="2" t="b">
        <v>0</v>
      </c>
      <c r="D21" s="2">
        <f t="shared" ref="D21" si="66">ROUND(N(C21)*(5-$A21)*10,0)</f>
        <v>0</v>
      </c>
      <c r="E21" s="2" t="b">
        <v>1</v>
      </c>
      <c r="F21" s="2">
        <f t="shared" si="1"/>
        <v>10</v>
      </c>
      <c r="G21" s="2" t="b">
        <v>0</v>
      </c>
      <c r="H21" s="2">
        <f t="shared" ref="H21" si="67">ROUND(N(G21)*(5-$A21)*10,0)</f>
        <v>0</v>
      </c>
      <c r="I21" s="2" t="b">
        <v>0</v>
      </c>
      <c r="J21" s="2">
        <f t="shared" ref="J21" si="68">ROUND(N(I21)*(5-$A21)*10,0)</f>
        <v>0</v>
      </c>
      <c r="K21" s="2" t="b">
        <v>0</v>
      </c>
      <c r="L21" s="2">
        <f t="shared" ref="L21" si="69">ROUND(N(K21)*(5-$A21)*10,0)</f>
        <v>0</v>
      </c>
      <c r="M21" s="2" t="b">
        <v>1</v>
      </c>
      <c r="N21" s="2">
        <f t="shared" ref="N21:P21" si="70">ROUND(N(M21)*(5-$A21)*10,0)</f>
        <v>10</v>
      </c>
      <c r="O21" s="2" t="b">
        <v>1</v>
      </c>
      <c r="P21" s="3">
        <f t="shared" si="70"/>
        <v>10</v>
      </c>
    </row>
    <row r="22" spans="1:16" x14ac:dyDescent="0.35">
      <c r="A22" s="13">
        <v>4</v>
      </c>
      <c r="B22" s="10" t="s">
        <v>91</v>
      </c>
      <c r="C22" s="2" t="b">
        <v>1</v>
      </c>
      <c r="D22" s="2">
        <f t="shared" ref="D22" si="71">ROUND(N(C22)*(5-$A22)*10,0)</f>
        <v>10</v>
      </c>
      <c r="E22" s="2" t="b">
        <v>0</v>
      </c>
      <c r="F22" s="2">
        <f t="shared" si="1"/>
        <v>0</v>
      </c>
      <c r="G22" s="2" t="b">
        <v>0</v>
      </c>
      <c r="H22" s="2">
        <f t="shared" ref="H22" si="72">ROUND(N(G22)*(5-$A22)*10,0)</f>
        <v>0</v>
      </c>
      <c r="I22" s="2" t="b">
        <v>0</v>
      </c>
      <c r="J22" s="2">
        <f t="shared" ref="J22" si="73">ROUND(N(I22)*(5-$A22)*10,0)</f>
        <v>0</v>
      </c>
      <c r="K22" s="2" t="b">
        <v>0</v>
      </c>
      <c r="L22" s="2">
        <f t="shared" ref="L22" si="74">ROUND(N(K22)*(5-$A22)*10,0)</f>
        <v>0</v>
      </c>
      <c r="M22" s="2" t="b">
        <v>0</v>
      </c>
      <c r="N22" s="2">
        <f t="shared" ref="N22:P22" si="75">ROUND(N(M22)*(5-$A22)*10,0)</f>
        <v>0</v>
      </c>
      <c r="O22" s="2" t="b">
        <v>0</v>
      </c>
      <c r="P22" s="3">
        <f t="shared" si="75"/>
        <v>0</v>
      </c>
    </row>
    <row r="23" spans="1:16" x14ac:dyDescent="0.35">
      <c r="A23" s="13">
        <v>1</v>
      </c>
      <c r="B23" s="10" t="s">
        <v>92</v>
      </c>
      <c r="C23" s="2" t="b">
        <v>1</v>
      </c>
      <c r="D23" s="2">
        <f t="shared" ref="D23" si="76">ROUND(N(C23)*(5-$A23)*10,0)</f>
        <v>40</v>
      </c>
      <c r="E23" s="2" t="b">
        <v>1</v>
      </c>
      <c r="F23" s="2">
        <f t="shared" si="1"/>
        <v>40</v>
      </c>
      <c r="G23" s="2" t="b">
        <v>1</v>
      </c>
      <c r="H23" s="2">
        <f t="shared" ref="H23" si="77">ROUND(N(G23)*(5-$A23)*10,0)</f>
        <v>40</v>
      </c>
      <c r="I23" s="2" t="b">
        <v>1</v>
      </c>
      <c r="J23" s="2">
        <f t="shared" ref="J23" si="78">ROUND(N(I23)*(5-$A23)*10,0)</f>
        <v>40</v>
      </c>
      <c r="K23" s="2" t="b">
        <v>0</v>
      </c>
      <c r="L23" s="2">
        <f t="shared" ref="L23" si="79">ROUND(N(K23)*(5-$A23)*10,0)</f>
        <v>0</v>
      </c>
      <c r="M23" s="2" t="b">
        <v>1</v>
      </c>
      <c r="N23" s="2">
        <f t="shared" ref="N23:P23" si="80">ROUND(N(M23)*(5-$A23)*10,0)</f>
        <v>40</v>
      </c>
      <c r="O23" s="2" t="b">
        <v>0</v>
      </c>
      <c r="P23" s="3">
        <f t="shared" si="80"/>
        <v>0</v>
      </c>
    </row>
    <row r="24" spans="1:16" x14ac:dyDescent="0.35">
      <c r="A24" s="13">
        <v>3</v>
      </c>
      <c r="B24" s="10" t="s">
        <v>37</v>
      </c>
      <c r="C24" s="2" t="b">
        <v>0</v>
      </c>
      <c r="D24" s="2">
        <f t="shared" ref="D24" si="81">ROUND(N(C24)*(5-$A24)*10,0)</f>
        <v>0</v>
      </c>
      <c r="E24" s="2" t="b">
        <v>0</v>
      </c>
      <c r="F24" s="2">
        <f t="shared" si="1"/>
        <v>0</v>
      </c>
      <c r="G24" s="2" t="b">
        <v>0</v>
      </c>
      <c r="H24" s="2">
        <f t="shared" ref="H24" si="82">ROUND(N(G24)*(5-$A24)*10,0)</f>
        <v>0</v>
      </c>
      <c r="I24" s="2" t="b">
        <v>1</v>
      </c>
      <c r="J24" s="2">
        <f t="shared" ref="J24" si="83">ROUND(N(I24)*(5-$A24)*10,0)</f>
        <v>20</v>
      </c>
      <c r="K24" s="2" t="b">
        <v>0</v>
      </c>
      <c r="L24" s="2">
        <f t="shared" ref="L24" si="84">ROUND(N(K24)*(5-$A24)*10,0)</f>
        <v>0</v>
      </c>
      <c r="M24" s="2" t="b">
        <v>0</v>
      </c>
      <c r="N24" s="2">
        <f t="shared" ref="N24:P24" si="85">ROUND(N(M24)*(5-$A24)*10,0)</f>
        <v>0</v>
      </c>
      <c r="O24" s="2" t="b">
        <v>0</v>
      </c>
      <c r="P24" s="3">
        <f t="shared" si="85"/>
        <v>0</v>
      </c>
    </row>
    <row r="25" spans="1:16" x14ac:dyDescent="0.35">
      <c r="A25" s="13">
        <v>1</v>
      </c>
      <c r="B25" s="10" t="s">
        <v>12</v>
      </c>
      <c r="C25" s="2" t="b">
        <v>1</v>
      </c>
      <c r="D25" s="2">
        <f t="shared" ref="D25" si="86">ROUND(N(C25)*(5-$A25)*10,0)</f>
        <v>40</v>
      </c>
      <c r="E25" s="2" t="b">
        <v>0</v>
      </c>
      <c r="F25" s="2">
        <f t="shared" si="1"/>
        <v>0</v>
      </c>
      <c r="G25" s="2" t="b">
        <v>0</v>
      </c>
      <c r="H25" s="2">
        <f t="shared" ref="H25" si="87">ROUND(N(G25)*(5-$A25)*10,0)</f>
        <v>0</v>
      </c>
      <c r="I25" s="2" t="b">
        <v>1</v>
      </c>
      <c r="J25" s="2">
        <f t="shared" ref="J25" si="88">ROUND(N(I25)*(5-$A25)*10,0)</f>
        <v>40</v>
      </c>
      <c r="K25" s="2" t="b">
        <v>1</v>
      </c>
      <c r="L25" s="2">
        <f t="shared" ref="L25" si="89">ROUND(N(K25)*(5-$A25)*10,0)</f>
        <v>40</v>
      </c>
      <c r="M25" s="2" t="b">
        <v>0</v>
      </c>
      <c r="N25" s="2">
        <f t="shared" ref="N25:P25" si="90">ROUND(N(M25)*(5-$A25)*10,0)</f>
        <v>0</v>
      </c>
      <c r="O25" s="2" t="b">
        <v>0</v>
      </c>
      <c r="P25" s="3">
        <f t="shared" si="90"/>
        <v>0</v>
      </c>
    </row>
    <row r="26" spans="1:16" ht="33.5" customHeight="1" x14ac:dyDescent="0.35">
      <c r="A26" s="13">
        <v>3</v>
      </c>
      <c r="B26" s="10" t="s">
        <v>11</v>
      </c>
      <c r="C26" s="2" t="b">
        <v>1</v>
      </c>
      <c r="D26" s="2">
        <f t="shared" ref="D26" si="91">ROUND(N(C26)*(5-$A26)*10,0)</f>
        <v>20</v>
      </c>
      <c r="E26" s="2" t="b">
        <v>0</v>
      </c>
      <c r="F26" s="2">
        <f t="shared" si="1"/>
        <v>0</v>
      </c>
      <c r="G26" s="2" t="b">
        <v>1</v>
      </c>
      <c r="H26" s="2">
        <f t="shared" ref="H26" si="92">ROUND(N(G26)*(5-$A26)*10,0)</f>
        <v>20</v>
      </c>
      <c r="I26" s="2">
        <v>0.5</v>
      </c>
      <c r="J26" s="2">
        <f t="shared" ref="J26" si="93">ROUND(N(I26)*(5-$A26)*10,0)</f>
        <v>10</v>
      </c>
      <c r="K26" s="2">
        <v>0.5</v>
      </c>
      <c r="L26" s="2">
        <f t="shared" ref="L26" si="94">ROUND(N(K26)*(5-$A26)*10,0)</f>
        <v>10</v>
      </c>
      <c r="M26" s="2">
        <v>0.5</v>
      </c>
      <c r="N26" s="2">
        <f t="shared" ref="N26:P26" si="95">ROUND(N(M26)*(5-$A26)*10,0)</f>
        <v>10</v>
      </c>
      <c r="O26" s="2" t="b">
        <v>1</v>
      </c>
      <c r="P26" s="3">
        <f t="shared" si="95"/>
        <v>20</v>
      </c>
    </row>
    <row r="27" spans="1:16" x14ac:dyDescent="0.35">
      <c r="A27" s="13">
        <v>3</v>
      </c>
      <c r="B27" s="10" t="s">
        <v>13</v>
      </c>
      <c r="C27" s="2" t="b">
        <v>1</v>
      </c>
      <c r="D27" s="2">
        <f t="shared" ref="D27" si="96">ROUND(N(C27)*(5-$A27)*10,0)</f>
        <v>20</v>
      </c>
      <c r="E27" s="2" t="b">
        <v>0</v>
      </c>
      <c r="F27" s="2">
        <f t="shared" si="1"/>
        <v>0</v>
      </c>
      <c r="G27" s="2" t="b">
        <v>0</v>
      </c>
      <c r="H27" s="2">
        <f t="shared" ref="H27" si="97">ROUND(N(G27)*(5-$A27)*10,0)</f>
        <v>0</v>
      </c>
      <c r="I27" s="2" t="b">
        <v>0</v>
      </c>
      <c r="J27" s="2">
        <f t="shared" ref="J27" si="98">ROUND(N(I27)*(5-$A27)*10,0)</f>
        <v>0</v>
      </c>
      <c r="K27" s="2" t="b">
        <v>0</v>
      </c>
      <c r="L27" s="2">
        <f t="shared" ref="L27" si="99">ROUND(N(K27)*(5-$A27)*10,0)</f>
        <v>0</v>
      </c>
      <c r="M27" s="2" t="b">
        <v>1</v>
      </c>
      <c r="N27" s="2">
        <f t="shared" ref="N27:P27" si="100">ROUND(N(M27)*(5-$A27)*10,0)</f>
        <v>20</v>
      </c>
      <c r="O27" s="2" t="b">
        <v>0</v>
      </c>
      <c r="P27" s="3">
        <f t="shared" si="100"/>
        <v>0</v>
      </c>
    </row>
    <row r="28" spans="1:16" x14ac:dyDescent="0.35">
      <c r="A28" s="13">
        <v>3</v>
      </c>
      <c r="B28" s="10" t="s">
        <v>26</v>
      </c>
      <c r="C28" s="2" t="b">
        <v>1</v>
      </c>
      <c r="D28" s="2">
        <f t="shared" ref="D28" si="101">ROUND(N(C28)*(5-$A28)*10,0)</f>
        <v>20</v>
      </c>
      <c r="E28" s="2" t="b">
        <v>0</v>
      </c>
      <c r="F28" s="2">
        <f t="shared" si="1"/>
        <v>0</v>
      </c>
      <c r="G28" s="2" t="b">
        <v>0</v>
      </c>
      <c r="H28" s="2">
        <f t="shared" ref="H28" si="102">ROUND(N(G28)*(5-$A28)*10,0)</f>
        <v>0</v>
      </c>
      <c r="I28" s="2" t="b">
        <v>0</v>
      </c>
      <c r="J28" s="2">
        <f t="shared" ref="J28" si="103">ROUND(N(I28)*(5-$A28)*10,0)</f>
        <v>0</v>
      </c>
      <c r="K28" s="2" t="b">
        <v>0</v>
      </c>
      <c r="L28" s="2">
        <f t="shared" ref="L28" si="104">ROUND(N(K28)*(5-$A28)*10,0)</f>
        <v>0</v>
      </c>
      <c r="M28" s="2" t="b">
        <v>0</v>
      </c>
      <c r="N28" s="2">
        <f t="shared" ref="N28:P28" si="105">ROUND(N(M28)*(5-$A28)*10,0)</f>
        <v>0</v>
      </c>
      <c r="O28" s="2" t="b">
        <v>0</v>
      </c>
      <c r="P28" s="3">
        <f t="shared" si="105"/>
        <v>0</v>
      </c>
    </row>
    <row r="29" spans="1:16" x14ac:dyDescent="0.35">
      <c r="A29" s="13">
        <v>2</v>
      </c>
      <c r="B29" s="10" t="s">
        <v>62</v>
      </c>
      <c r="C29" s="2" t="b">
        <v>1</v>
      </c>
      <c r="D29" s="2">
        <f t="shared" ref="D29" si="106">ROUND(N(C29)*(5-$A29)*10,0)</f>
        <v>30</v>
      </c>
      <c r="E29" s="2" t="b">
        <v>1</v>
      </c>
      <c r="F29" s="2">
        <f t="shared" si="1"/>
        <v>30</v>
      </c>
      <c r="G29" s="2" t="b">
        <v>1</v>
      </c>
      <c r="H29" s="2">
        <f t="shared" ref="H29" si="107">ROUND(N(G29)*(5-$A29)*10,0)</f>
        <v>30</v>
      </c>
      <c r="I29" s="2" t="b">
        <v>1</v>
      </c>
      <c r="J29" s="2">
        <f t="shared" ref="J29" si="108">ROUND(N(I29)*(5-$A29)*10,0)</f>
        <v>30</v>
      </c>
      <c r="K29" s="2" t="b">
        <v>0</v>
      </c>
      <c r="L29" s="2">
        <f t="shared" ref="L29" si="109">ROUND(N(K29)*(5-$A29)*10,0)</f>
        <v>0</v>
      </c>
      <c r="M29" s="2" t="b">
        <v>1</v>
      </c>
      <c r="N29" s="2">
        <f t="shared" ref="N29:P29" si="110">ROUND(N(M29)*(5-$A29)*10,0)</f>
        <v>30</v>
      </c>
      <c r="O29" s="2" t="b">
        <v>0</v>
      </c>
      <c r="P29" s="3">
        <f t="shared" si="110"/>
        <v>0</v>
      </c>
    </row>
    <row r="30" spans="1:16" x14ac:dyDescent="0.35">
      <c r="A30" s="13">
        <v>3</v>
      </c>
      <c r="B30" s="10" t="s">
        <v>73</v>
      </c>
      <c r="C30" s="2" t="b">
        <v>0</v>
      </c>
      <c r="D30" s="2">
        <f t="shared" ref="D30" si="111">ROUND(N(C30)*(5-$A30)*10,0)</f>
        <v>0</v>
      </c>
      <c r="E30" s="2">
        <v>1</v>
      </c>
      <c r="F30" s="2">
        <f t="shared" si="1"/>
        <v>20</v>
      </c>
      <c r="G30" s="2" t="b">
        <v>0</v>
      </c>
      <c r="H30" s="2">
        <f t="shared" ref="H30" si="112">ROUND(N(G30)*(5-$A30)*10,0)</f>
        <v>0</v>
      </c>
      <c r="I30" s="2" t="b">
        <v>1</v>
      </c>
      <c r="J30" s="2">
        <f t="shared" ref="J30" si="113">ROUND(N(I30)*(5-$A30)*10,0)</f>
        <v>20</v>
      </c>
      <c r="K30" s="2" t="b">
        <v>0</v>
      </c>
      <c r="L30" s="2">
        <f t="shared" ref="L30" si="114">ROUND(N(K30)*(5-$A30)*10,0)</f>
        <v>0</v>
      </c>
      <c r="M30" s="2" t="b">
        <v>0</v>
      </c>
      <c r="N30" s="2">
        <f t="shared" ref="N30:P30" si="115">ROUND(N(M30)*(5-$A30)*10,0)</f>
        <v>0</v>
      </c>
      <c r="O30" s="2" t="b">
        <v>0</v>
      </c>
      <c r="P30" s="3">
        <f t="shared" si="115"/>
        <v>0</v>
      </c>
    </row>
    <row r="31" spans="1:16" x14ac:dyDescent="0.35">
      <c r="A31" s="13">
        <v>3</v>
      </c>
      <c r="B31" s="10" t="s">
        <v>74</v>
      </c>
      <c r="C31" s="2" t="b">
        <v>0</v>
      </c>
      <c r="D31" s="2">
        <f t="shared" ref="D31" si="116">ROUND(N(C31)*(5-$A31)*10,0)</f>
        <v>0</v>
      </c>
      <c r="E31" s="2" t="b">
        <v>1</v>
      </c>
      <c r="F31" s="2">
        <f t="shared" si="1"/>
        <v>20</v>
      </c>
      <c r="G31" s="2" t="b">
        <v>0</v>
      </c>
      <c r="H31" s="2">
        <f t="shared" ref="H31" si="117">ROUND(N(G31)*(5-$A31)*10,0)</f>
        <v>0</v>
      </c>
      <c r="I31" s="2" t="b">
        <v>1</v>
      </c>
      <c r="J31" s="2">
        <f t="shared" ref="J31" si="118">ROUND(N(I31)*(5-$A31)*10,0)</f>
        <v>20</v>
      </c>
      <c r="K31" s="2" t="b">
        <v>0</v>
      </c>
      <c r="L31" s="2">
        <f t="shared" ref="L31" si="119">ROUND(N(K31)*(5-$A31)*10,0)</f>
        <v>0</v>
      </c>
      <c r="M31" s="2" t="b">
        <v>0</v>
      </c>
      <c r="N31" s="2">
        <f t="shared" ref="N31:P31" si="120">ROUND(N(M31)*(5-$A31)*10,0)</f>
        <v>0</v>
      </c>
      <c r="O31" s="2" t="b">
        <v>0</v>
      </c>
      <c r="P31" s="3">
        <f t="shared" si="120"/>
        <v>0</v>
      </c>
    </row>
    <row r="32" spans="1:16" x14ac:dyDescent="0.35">
      <c r="A32" s="13">
        <v>3</v>
      </c>
      <c r="B32" s="10" t="s">
        <v>75</v>
      </c>
      <c r="C32" s="2" t="b">
        <v>0</v>
      </c>
      <c r="D32" s="2">
        <f t="shared" ref="D32" si="121">ROUND(N(C32)*(5-$A32)*10,0)</f>
        <v>0</v>
      </c>
      <c r="E32" s="2" t="b">
        <v>0</v>
      </c>
      <c r="F32" s="2">
        <f t="shared" si="1"/>
        <v>0</v>
      </c>
      <c r="G32" s="2" t="b">
        <v>0</v>
      </c>
      <c r="H32" s="2">
        <f t="shared" ref="H32" si="122">ROUND(N(G32)*(5-$A32)*10,0)</f>
        <v>0</v>
      </c>
      <c r="I32" s="2" t="b">
        <v>0</v>
      </c>
      <c r="J32" s="2">
        <f t="shared" ref="J32" si="123">ROUND(N(I32)*(5-$A32)*10,0)</f>
        <v>0</v>
      </c>
      <c r="K32" s="2" t="b">
        <v>0</v>
      </c>
      <c r="L32" s="2">
        <f t="shared" ref="L32" si="124">ROUND(N(K32)*(5-$A32)*10,0)</f>
        <v>0</v>
      </c>
      <c r="M32" s="2" t="b">
        <v>0</v>
      </c>
      <c r="N32" s="2">
        <f t="shared" ref="N32:P32" si="125">ROUND(N(M32)*(5-$A32)*10,0)</f>
        <v>0</v>
      </c>
      <c r="O32" s="2" t="b">
        <v>1</v>
      </c>
      <c r="P32" s="3">
        <f t="shared" si="125"/>
        <v>20</v>
      </c>
    </row>
    <row r="33" spans="1:16" x14ac:dyDescent="0.35">
      <c r="A33" s="13">
        <v>3</v>
      </c>
      <c r="B33" s="10" t="s">
        <v>35</v>
      </c>
      <c r="C33" s="2" t="b">
        <v>1</v>
      </c>
      <c r="D33" s="2">
        <f t="shared" ref="D33" si="126">ROUND(N(C33)*(5-$A33)*10,0)</f>
        <v>20</v>
      </c>
      <c r="E33" s="2" t="b">
        <v>0</v>
      </c>
      <c r="F33" s="2">
        <f t="shared" si="1"/>
        <v>0</v>
      </c>
      <c r="G33" s="2" t="b">
        <v>0</v>
      </c>
      <c r="H33" s="2">
        <f t="shared" ref="H33" si="127">ROUND(N(G33)*(5-$A33)*10,0)</f>
        <v>0</v>
      </c>
      <c r="I33" s="2" t="b">
        <v>1</v>
      </c>
      <c r="J33" s="2">
        <f t="shared" ref="J33" si="128">ROUND(N(I33)*(5-$A33)*10,0)</f>
        <v>20</v>
      </c>
      <c r="K33" s="2" t="b">
        <v>0</v>
      </c>
      <c r="L33" s="2">
        <f t="shared" ref="L33" si="129">ROUND(N(K33)*(5-$A33)*10,0)</f>
        <v>0</v>
      </c>
      <c r="M33" s="2" t="b">
        <v>0</v>
      </c>
      <c r="N33" s="2">
        <f t="shared" ref="N33:P33" si="130">ROUND(N(M33)*(5-$A33)*10,0)</f>
        <v>0</v>
      </c>
      <c r="O33" s="2" t="b">
        <v>0</v>
      </c>
      <c r="P33" s="3">
        <f t="shared" si="130"/>
        <v>0</v>
      </c>
    </row>
    <row r="34" spans="1:16" ht="18.5" x14ac:dyDescent="0.45">
      <c r="A34" s="13"/>
      <c r="B34" s="5" t="s">
        <v>14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6"/>
    </row>
    <row r="35" spans="1:16" x14ac:dyDescent="0.35">
      <c r="A35" s="13">
        <v>2</v>
      </c>
      <c r="B35" s="10" t="s">
        <v>15</v>
      </c>
      <c r="C35" s="2" t="b">
        <v>1</v>
      </c>
      <c r="D35" s="2">
        <f t="shared" ref="D35" si="131">ROUND(N(C35)*(5-$A35)*10,0)</f>
        <v>30</v>
      </c>
      <c r="E35" s="2" t="b">
        <v>1</v>
      </c>
      <c r="F35" s="2">
        <f t="shared" si="1"/>
        <v>30</v>
      </c>
      <c r="G35" s="2">
        <v>0.5</v>
      </c>
      <c r="H35" s="2">
        <f t="shared" ref="H35" si="132">ROUND(N(G35)*(5-$A35)*10,0)</f>
        <v>15</v>
      </c>
      <c r="I35" s="2">
        <v>0.5</v>
      </c>
      <c r="J35" s="2">
        <f t="shared" ref="J35" si="133">ROUND(N(I35)*(5-$A35)*10,0)</f>
        <v>15</v>
      </c>
      <c r="K35" s="2" t="b">
        <v>1</v>
      </c>
      <c r="L35" s="2">
        <f t="shared" ref="L35" si="134">ROUND(N(K35)*(5-$A35)*10,0)</f>
        <v>30</v>
      </c>
      <c r="M35" s="2" t="b">
        <v>1</v>
      </c>
      <c r="N35" s="2">
        <f t="shared" ref="N35:P35" si="135">ROUND(N(M35)*(5-$A35)*10,0)</f>
        <v>30</v>
      </c>
      <c r="O35" s="2" t="b">
        <v>0</v>
      </c>
      <c r="P35" s="3">
        <f t="shared" si="135"/>
        <v>0</v>
      </c>
    </row>
    <row r="36" spans="1:16" x14ac:dyDescent="0.35">
      <c r="A36" s="13">
        <v>3</v>
      </c>
      <c r="B36" s="10" t="s">
        <v>16</v>
      </c>
      <c r="C36" s="2" t="b">
        <v>0</v>
      </c>
      <c r="D36" s="2">
        <f t="shared" ref="D36" si="136">ROUND(N(C36)*(5-$A36)*10,0)</f>
        <v>0</v>
      </c>
      <c r="E36" s="2" t="b">
        <v>1</v>
      </c>
      <c r="F36" s="2">
        <f t="shared" si="1"/>
        <v>20</v>
      </c>
      <c r="G36" s="2" t="b">
        <v>1</v>
      </c>
      <c r="H36" s="2">
        <f t="shared" ref="H36" si="137">ROUND(N(G36)*(5-$A36)*10,0)</f>
        <v>20</v>
      </c>
      <c r="I36" s="2" t="b">
        <v>1</v>
      </c>
      <c r="J36" s="2">
        <f t="shared" ref="J36" si="138">ROUND(N(I36)*(5-$A36)*10,0)</f>
        <v>20</v>
      </c>
      <c r="K36" s="2" t="b">
        <v>1</v>
      </c>
      <c r="L36" s="2">
        <f t="shared" ref="L36" si="139">ROUND(N(K36)*(5-$A36)*10,0)</f>
        <v>20</v>
      </c>
      <c r="M36" s="2" t="b">
        <v>0</v>
      </c>
      <c r="N36" s="2">
        <f t="shared" ref="N36:P36" si="140">ROUND(N(M36)*(5-$A36)*10,0)</f>
        <v>0</v>
      </c>
      <c r="O36" s="2" t="b">
        <v>0</v>
      </c>
      <c r="P36" s="3">
        <f t="shared" si="140"/>
        <v>0</v>
      </c>
    </row>
    <row r="37" spans="1:16" x14ac:dyDescent="0.35">
      <c r="A37" s="13">
        <v>3</v>
      </c>
      <c r="B37" s="10" t="s">
        <v>76</v>
      </c>
      <c r="C37" s="2" t="b">
        <v>1</v>
      </c>
      <c r="D37" s="2">
        <f t="shared" ref="D37" si="141">ROUND(N(C37)*(5-$A37)*10,0)</f>
        <v>20</v>
      </c>
      <c r="E37" s="2" t="b">
        <v>1</v>
      </c>
      <c r="F37" s="2">
        <f t="shared" si="1"/>
        <v>20</v>
      </c>
      <c r="G37" s="2" t="b">
        <v>1</v>
      </c>
      <c r="H37" s="2">
        <f t="shared" ref="H37" si="142">ROUND(N(G37)*(5-$A37)*10,0)</f>
        <v>20</v>
      </c>
      <c r="I37" s="2" t="b">
        <v>1</v>
      </c>
      <c r="J37" s="2">
        <f t="shared" ref="J37" si="143">ROUND(N(I37)*(5-$A37)*10,0)</f>
        <v>20</v>
      </c>
      <c r="K37" s="2" t="b">
        <v>1</v>
      </c>
      <c r="L37" s="2">
        <f t="shared" ref="L37" si="144">ROUND(N(K37)*(5-$A37)*10,0)</f>
        <v>20</v>
      </c>
      <c r="M37" s="2" t="b">
        <v>1</v>
      </c>
      <c r="N37" s="2">
        <f t="shared" ref="N37:P37" si="145">ROUND(N(M37)*(5-$A37)*10,0)</f>
        <v>20</v>
      </c>
      <c r="O37" s="2" t="b">
        <v>0</v>
      </c>
      <c r="P37" s="3">
        <f t="shared" si="145"/>
        <v>0</v>
      </c>
    </row>
    <row r="38" spans="1:16" ht="18.5" x14ac:dyDescent="0.45">
      <c r="A38" s="13"/>
      <c r="B38" s="5" t="s">
        <v>18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6"/>
    </row>
    <row r="39" spans="1:16" x14ac:dyDescent="0.35">
      <c r="A39" s="13">
        <v>1</v>
      </c>
      <c r="B39" s="10" t="s">
        <v>25</v>
      </c>
      <c r="C39" s="2" t="b">
        <v>1</v>
      </c>
      <c r="D39" s="2">
        <f t="shared" ref="D39" si="146">ROUND(N(C39)*(5-$A39)*10,0)</f>
        <v>40</v>
      </c>
      <c r="E39" s="2" t="b">
        <v>1</v>
      </c>
      <c r="F39" s="2">
        <f t="shared" si="1"/>
        <v>40</v>
      </c>
      <c r="G39" s="2" t="b">
        <v>1</v>
      </c>
      <c r="H39" s="2">
        <f t="shared" ref="H39" si="147">ROUND(N(G39)*(5-$A39)*10,0)</f>
        <v>40</v>
      </c>
      <c r="I39" s="2" t="b">
        <v>1</v>
      </c>
      <c r="J39" s="2">
        <f t="shared" ref="J39" si="148">ROUND(N(I39)*(5-$A39)*10,0)</f>
        <v>40</v>
      </c>
      <c r="K39" s="2" t="b">
        <v>1</v>
      </c>
      <c r="L39" s="2">
        <f t="shared" ref="L39" si="149">ROUND(N(K39)*(5-$A39)*10,0)</f>
        <v>40</v>
      </c>
      <c r="M39" s="2" t="b">
        <v>1</v>
      </c>
      <c r="N39" s="2">
        <f t="shared" ref="N39:P39" si="150">ROUND(N(M39)*(5-$A39)*10,0)</f>
        <v>40</v>
      </c>
      <c r="O39" s="2" t="b">
        <v>1</v>
      </c>
      <c r="P39" s="3">
        <f t="shared" si="150"/>
        <v>40</v>
      </c>
    </row>
    <row r="40" spans="1:16" x14ac:dyDescent="0.35">
      <c r="A40" s="13">
        <v>2</v>
      </c>
      <c r="B40" s="10" t="s">
        <v>89</v>
      </c>
      <c r="C40" s="2" t="b">
        <v>1</v>
      </c>
      <c r="D40" s="2">
        <f t="shared" ref="D40" si="151">ROUND(N(C40)*(5-$A40)*10,0)</f>
        <v>30</v>
      </c>
      <c r="E40" s="2" t="b">
        <v>1</v>
      </c>
      <c r="F40" s="2">
        <f t="shared" si="1"/>
        <v>30</v>
      </c>
      <c r="G40" s="2" t="b">
        <v>1</v>
      </c>
      <c r="H40" s="2">
        <f t="shared" ref="H40" si="152">ROUND(N(G40)*(5-$A40)*10,0)</f>
        <v>30</v>
      </c>
      <c r="I40" s="2" t="b">
        <v>1</v>
      </c>
      <c r="J40" s="2">
        <f t="shared" ref="J40" si="153">ROUND(N(I40)*(5-$A40)*10,0)</f>
        <v>30</v>
      </c>
      <c r="K40" s="2" t="b">
        <v>0</v>
      </c>
      <c r="L40" s="2">
        <f t="shared" ref="L40" si="154">ROUND(N(K40)*(5-$A40)*10,0)</f>
        <v>0</v>
      </c>
      <c r="M40" s="2" t="b">
        <v>0</v>
      </c>
      <c r="N40" s="2">
        <f t="shared" ref="N40:P40" si="155">ROUND(N(M40)*(5-$A40)*10,0)</f>
        <v>0</v>
      </c>
      <c r="O40" s="2" t="b">
        <v>0</v>
      </c>
      <c r="P40" s="3">
        <f t="shared" si="155"/>
        <v>0</v>
      </c>
    </row>
    <row r="41" spans="1:16" x14ac:dyDescent="0.35">
      <c r="A41" s="13">
        <v>3</v>
      </c>
      <c r="B41" s="10" t="s">
        <v>88</v>
      </c>
      <c r="C41" s="2" t="b">
        <v>0</v>
      </c>
      <c r="D41" s="2">
        <f t="shared" ref="D41" si="156">ROUND(N(C41)*(5-$A41)*10,0)</f>
        <v>0</v>
      </c>
      <c r="E41" s="2" t="b">
        <v>1</v>
      </c>
      <c r="F41" s="2">
        <f t="shared" si="1"/>
        <v>20</v>
      </c>
      <c r="G41" s="2" t="b">
        <v>0</v>
      </c>
      <c r="H41" s="2">
        <f t="shared" ref="H41" si="157">ROUND(N(G41)*(5-$A41)*10,0)</f>
        <v>0</v>
      </c>
      <c r="I41" s="2" t="b">
        <v>1</v>
      </c>
      <c r="J41" s="2">
        <f t="shared" ref="J41" si="158">ROUND(N(I41)*(5-$A41)*10,0)</f>
        <v>20</v>
      </c>
      <c r="K41" s="2" t="b">
        <v>0</v>
      </c>
      <c r="L41" s="2">
        <f t="shared" ref="L41" si="159">ROUND(N(K41)*(5-$A41)*10,0)</f>
        <v>0</v>
      </c>
      <c r="M41" s="2" t="b">
        <v>0</v>
      </c>
      <c r="N41" s="2">
        <f t="shared" ref="N41:P41" si="160">ROUND(N(M41)*(5-$A41)*10,0)</f>
        <v>0</v>
      </c>
      <c r="O41" s="2" t="b">
        <v>0</v>
      </c>
      <c r="P41" s="3">
        <f t="shared" si="160"/>
        <v>0</v>
      </c>
    </row>
    <row r="42" spans="1:16" x14ac:dyDescent="0.35">
      <c r="A42" s="13">
        <v>3</v>
      </c>
      <c r="B42" s="10" t="s">
        <v>87</v>
      </c>
      <c r="C42" s="2" t="b">
        <v>0</v>
      </c>
      <c r="D42" s="2">
        <f t="shared" ref="D42" si="161">ROUND(N(C42)*(5-$A42)*10,0)</f>
        <v>0</v>
      </c>
      <c r="E42" s="2" t="b">
        <v>1</v>
      </c>
      <c r="F42" s="2">
        <f t="shared" si="1"/>
        <v>20</v>
      </c>
      <c r="G42" s="2" t="b">
        <v>0</v>
      </c>
      <c r="H42" s="2">
        <f t="shared" ref="H42" si="162">ROUND(N(G42)*(5-$A42)*10,0)</f>
        <v>0</v>
      </c>
      <c r="I42" s="2" t="b">
        <v>1</v>
      </c>
      <c r="J42" s="2">
        <f t="shared" ref="J42" si="163">ROUND(N(I42)*(5-$A42)*10,0)</f>
        <v>20</v>
      </c>
      <c r="K42" s="2" t="b">
        <v>0</v>
      </c>
      <c r="L42" s="2">
        <f t="shared" ref="L42" si="164">ROUND(N(K42)*(5-$A42)*10,0)</f>
        <v>0</v>
      </c>
      <c r="M42" s="2" t="b">
        <v>0</v>
      </c>
      <c r="N42" s="2">
        <f t="shared" ref="N42:P42" si="165">ROUND(N(M42)*(5-$A42)*10,0)</f>
        <v>0</v>
      </c>
      <c r="O42" s="2" t="b">
        <v>0</v>
      </c>
      <c r="P42" s="3">
        <f t="shared" si="165"/>
        <v>0</v>
      </c>
    </row>
    <row r="43" spans="1:16" x14ac:dyDescent="0.35">
      <c r="A43" s="13">
        <v>2</v>
      </c>
      <c r="B43" s="10" t="s">
        <v>71</v>
      </c>
      <c r="C43" s="2" t="b">
        <v>0</v>
      </c>
      <c r="D43" s="2">
        <f t="shared" ref="D43" si="166">ROUND(N(C43)*(5-$A43)*10,0)</f>
        <v>0</v>
      </c>
      <c r="E43" s="2" t="b">
        <v>1</v>
      </c>
      <c r="F43" s="2">
        <f t="shared" si="1"/>
        <v>30</v>
      </c>
      <c r="G43" s="2" t="b">
        <v>0</v>
      </c>
      <c r="H43" s="2">
        <f t="shared" ref="H43" si="167">ROUND(N(G43)*(5-$A43)*10,0)</f>
        <v>0</v>
      </c>
      <c r="I43" s="2" t="b">
        <v>1</v>
      </c>
      <c r="J43" s="2">
        <f t="shared" ref="J43" si="168">ROUND(N(I43)*(5-$A43)*10,0)</f>
        <v>30</v>
      </c>
      <c r="K43" s="2" t="b">
        <v>1</v>
      </c>
      <c r="L43" s="2">
        <f t="shared" ref="L43" si="169">ROUND(N(K43)*(5-$A43)*10,0)</f>
        <v>30</v>
      </c>
      <c r="M43" s="2" t="b">
        <v>1</v>
      </c>
      <c r="N43" s="2">
        <f t="shared" ref="N43:P43" si="170">ROUND(N(M43)*(5-$A43)*10,0)</f>
        <v>30</v>
      </c>
      <c r="O43" s="2" t="b">
        <v>0</v>
      </c>
      <c r="P43" s="3">
        <f t="shared" si="170"/>
        <v>0</v>
      </c>
    </row>
    <row r="44" spans="1:16" x14ac:dyDescent="0.35">
      <c r="A44" s="13">
        <v>3</v>
      </c>
      <c r="B44" s="10" t="s">
        <v>72</v>
      </c>
      <c r="C44" s="2" t="b">
        <v>0</v>
      </c>
      <c r="D44" s="2">
        <f t="shared" ref="D44" si="171">ROUND(N(C44)*(5-$A44)*10,0)</f>
        <v>0</v>
      </c>
      <c r="E44" s="2" t="b">
        <v>1</v>
      </c>
      <c r="F44" s="2">
        <f t="shared" si="1"/>
        <v>20</v>
      </c>
      <c r="G44" s="2" t="b">
        <v>0</v>
      </c>
      <c r="H44" s="2">
        <f t="shared" ref="H44" si="172">ROUND(N(G44)*(5-$A44)*10,0)</f>
        <v>0</v>
      </c>
      <c r="I44" s="2" t="b">
        <v>1</v>
      </c>
      <c r="J44" s="2">
        <f t="shared" ref="J44" si="173">ROUND(N(I44)*(5-$A44)*10,0)</f>
        <v>20</v>
      </c>
      <c r="K44" s="2" t="b">
        <v>0</v>
      </c>
      <c r="L44" s="2">
        <f t="shared" ref="L44" si="174">ROUND(N(K44)*(5-$A44)*10,0)</f>
        <v>0</v>
      </c>
      <c r="M44" s="2" t="b">
        <v>0</v>
      </c>
      <c r="N44" s="2">
        <f t="shared" ref="N44:P44" si="175">ROUND(N(M44)*(5-$A44)*10,0)</f>
        <v>0</v>
      </c>
      <c r="O44" s="2" t="b">
        <v>0</v>
      </c>
      <c r="P44" s="3">
        <f t="shared" si="175"/>
        <v>0</v>
      </c>
    </row>
    <row r="45" spans="1:16" x14ac:dyDescent="0.35">
      <c r="A45" s="13">
        <v>1</v>
      </c>
      <c r="B45" s="10" t="s">
        <v>48</v>
      </c>
      <c r="C45" s="2" t="b">
        <v>1</v>
      </c>
      <c r="D45" s="2">
        <f t="shared" ref="D45" si="176">ROUND(N(C45)*(5-$A45)*10,0)</f>
        <v>40</v>
      </c>
      <c r="E45" s="2" t="b">
        <v>1</v>
      </c>
      <c r="F45" s="2">
        <f t="shared" si="1"/>
        <v>40</v>
      </c>
      <c r="G45" s="2" t="b">
        <v>1</v>
      </c>
      <c r="H45" s="2">
        <f t="shared" ref="H45" si="177">ROUND(N(G45)*(5-$A45)*10,0)</f>
        <v>40</v>
      </c>
      <c r="I45" s="2" t="b">
        <v>1</v>
      </c>
      <c r="J45" s="2">
        <f t="shared" ref="J45" si="178">ROUND(N(I45)*(5-$A45)*10,0)</f>
        <v>40</v>
      </c>
      <c r="K45" s="2" t="b">
        <v>1</v>
      </c>
      <c r="L45" s="2">
        <f t="shared" ref="L45" si="179">ROUND(N(K45)*(5-$A45)*10,0)</f>
        <v>40</v>
      </c>
      <c r="M45" s="2" t="b">
        <v>1</v>
      </c>
      <c r="N45" s="2">
        <f t="shared" ref="N45:P45" si="180">ROUND(N(M45)*(5-$A45)*10,0)</f>
        <v>40</v>
      </c>
      <c r="O45" s="2" t="b">
        <v>1</v>
      </c>
      <c r="P45" s="3">
        <f t="shared" si="180"/>
        <v>40</v>
      </c>
    </row>
    <row r="46" spans="1:16" x14ac:dyDescent="0.35">
      <c r="A46" s="13">
        <v>2</v>
      </c>
      <c r="B46" s="10" t="s">
        <v>49</v>
      </c>
      <c r="C46" s="2" t="b">
        <v>0</v>
      </c>
      <c r="D46" s="2">
        <f t="shared" ref="D46" si="181">ROUND(N(C46)*(5-$A46)*10,0)</f>
        <v>0</v>
      </c>
      <c r="E46" s="2" t="b">
        <v>1</v>
      </c>
      <c r="F46" s="2">
        <f t="shared" si="1"/>
        <v>30</v>
      </c>
      <c r="G46" s="2" t="b">
        <v>1</v>
      </c>
      <c r="H46" s="2">
        <f t="shared" ref="H46" si="182">ROUND(N(G46)*(5-$A46)*10,0)</f>
        <v>30</v>
      </c>
      <c r="I46" s="2" t="b">
        <v>1</v>
      </c>
      <c r="J46" s="2">
        <f t="shared" ref="J46" si="183">ROUND(N(I46)*(5-$A46)*10,0)</f>
        <v>30</v>
      </c>
      <c r="K46" s="2" t="b">
        <v>1</v>
      </c>
      <c r="L46" s="2">
        <f t="shared" ref="L46" si="184">ROUND(N(K46)*(5-$A46)*10,0)</f>
        <v>30</v>
      </c>
      <c r="M46" s="2" t="b">
        <v>0</v>
      </c>
      <c r="N46" s="2">
        <f t="shared" ref="N46:P46" si="185">ROUND(N(M46)*(5-$A46)*10,0)</f>
        <v>0</v>
      </c>
      <c r="O46" s="2" t="b">
        <v>0</v>
      </c>
      <c r="P46" s="3">
        <f t="shared" si="185"/>
        <v>0</v>
      </c>
    </row>
    <row r="47" spans="1:16" x14ac:dyDescent="0.35">
      <c r="A47" s="13">
        <v>2</v>
      </c>
      <c r="B47" s="10" t="s">
        <v>50</v>
      </c>
      <c r="C47" s="2" t="b">
        <v>0</v>
      </c>
      <c r="D47" s="2">
        <f t="shared" ref="D47" si="186">ROUND(N(C47)*(5-$A47)*10,0)</f>
        <v>0</v>
      </c>
      <c r="E47" s="2" t="b">
        <v>1</v>
      </c>
      <c r="F47" s="2">
        <f t="shared" si="1"/>
        <v>30</v>
      </c>
      <c r="G47" s="2" t="b">
        <v>0</v>
      </c>
      <c r="H47" s="2">
        <f t="shared" ref="H47" si="187">ROUND(N(G47)*(5-$A47)*10,0)</f>
        <v>0</v>
      </c>
      <c r="I47" s="2" t="b">
        <v>1</v>
      </c>
      <c r="J47" s="2">
        <f t="shared" ref="J47" si="188">ROUND(N(I47)*(5-$A47)*10,0)</f>
        <v>30</v>
      </c>
      <c r="K47" s="2" t="b">
        <v>1</v>
      </c>
      <c r="L47" s="2">
        <f t="shared" ref="L47" si="189">ROUND(N(K47)*(5-$A47)*10,0)</f>
        <v>30</v>
      </c>
      <c r="M47" s="2" t="b">
        <v>0</v>
      </c>
      <c r="N47" s="2">
        <f t="shared" ref="N47:P47" si="190">ROUND(N(M47)*(5-$A47)*10,0)</f>
        <v>0</v>
      </c>
      <c r="O47" s="2" t="b">
        <v>1</v>
      </c>
      <c r="P47" s="3">
        <f t="shared" si="190"/>
        <v>30</v>
      </c>
    </row>
    <row r="48" spans="1:16" x14ac:dyDescent="0.35">
      <c r="A48" s="13">
        <v>3</v>
      </c>
      <c r="B48" s="10" t="s">
        <v>46</v>
      </c>
      <c r="C48" s="2" t="b">
        <v>0</v>
      </c>
      <c r="D48" s="2">
        <f t="shared" ref="D48" si="191">ROUND(N(C48)*(5-$A48)*10,0)</f>
        <v>0</v>
      </c>
      <c r="E48" s="2" t="b">
        <v>0</v>
      </c>
      <c r="F48" s="2">
        <f t="shared" si="1"/>
        <v>0</v>
      </c>
      <c r="G48" s="2">
        <v>1</v>
      </c>
      <c r="H48" s="2">
        <f t="shared" ref="H48" si="192">ROUND(N(G48)*(5-$A48)*10,0)</f>
        <v>20</v>
      </c>
      <c r="I48" s="2" t="b">
        <v>0</v>
      </c>
      <c r="J48" s="2">
        <f t="shared" ref="J48" si="193">ROUND(N(I48)*(5-$A48)*10,0)</f>
        <v>0</v>
      </c>
      <c r="K48" s="2" t="b">
        <v>0</v>
      </c>
      <c r="L48" s="2">
        <f t="shared" ref="L48" si="194">ROUND(N(K48)*(5-$A48)*10,0)</f>
        <v>0</v>
      </c>
      <c r="M48" s="2" t="b">
        <v>0</v>
      </c>
      <c r="N48" s="2">
        <f t="shared" ref="N48:P48" si="195">ROUND(N(M48)*(5-$A48)*10,0)</f>
        <v>0</v>
      </c>
      <c r="O48" s="2" t="b">
        <v>1</v>
      </c>
      <c r="P48" s="3">
        <f t="shared" si="195"/>
        <v>20</v>
      </c>
    </row>
    <row r="49" spans="1:16" x14ac:dyDescent="0.35">
      <c r="A49" s="13">
        <v>5</v>
      </c>
      <c r="B49" s="10" t="s">
        <v>17</v>
      </c>
      <c r="C49" s="2" t="b">
        <v>0</v>
      </c>
      <c r="D49" s="2">
        <f t="shared" ref="D49" si="196">ROUND(N(C49)*(5-$A49)*10,0)</f>
        <v>0</v>
      </c>
      <c r="E49" s="2" t="b">
        <v>0</v>
      </c>
      <c r="F49" s="2">
        <f t="shared" si="1"/>
        <v>0</v>
      </c>
      <c r="G49" s="2" t="b">
        <v>0</v>
      </c>
      <c r="H49" s="2">
        <f t="shared" ref="H49" si="197">ROUND(N(G49)*(5-$A49)*10,0)</f>
        <v>0</v>
      </c>
      <c r="I49" s="2" t="b">
        <v>0</v>
      </c>
      <c r="J49" s="2">
        <f t="shared" ref="J49" si="198">ROUND(N(I49)*(5-$A49)*10,0)</f>
        <v>0</v>
      </c>
      <c r="K49" s="2" t="b">
        <v>0</v>
      </c>
      <c r="L49" s="2">
        <f t="shared" ref="L49" si="199">ROUND(N(K49)*(5-$A49)*10,0)</f>
        <v>0</v>
      </c>
      <c r="M49" s="2" t="b">
        <v>0</v>
      </c>
      <c r="N49" s="2">
        <f t="shared" ref="N49:P49" si="200">ROUND(N(M49)*(5-$A49)*10,0)</f>
        <v>0</v>
      </c>
      <c r="O49" s="2" t="b">
        <v>0</v>
      </c>
      <c r="P49" s="3">
        <f t="shared" si="200"/>
        <v>0</v>
      </c>
    </row>
    <row r="50" spans="1:16" x14ac:dyDescent="0.35">
      <c r="A50" s="13">
        <v>1</v>
      </c>
      <c r="B50" s="10" t="s">
        <v>86</v>
      </c>
      <c r="C50" s="2" t="b">
        <v>1</v>
      </c>
      <c r="D50" s="2">
        <f t="shared" ref="D50" si="201">ROUND(N(C50)*(5-$A50)*10,0)</f>
        <v>40</v>
      </c>
      <c r="E50" s="2" t="b">
        <v>1</v>
      </c>
      <c r="F50" s="2">
        <f t="shared" si="1"/>
        <v>40</v>
      </c>
      <c r="G50" s="2" t="b">
        <v>0</v>
      </c>
      <c r="H50" s="2">
        <f t="shared" ref="H50" si="202">ROUND(N(G50)*(5-$A50)*10,0)</f>
        <v>0</v>
      </c>
      <c r="I50" s="2" t="b">
        <v>1</v>
      </c>
      <c r="J50" s="2">
        <f t="shared" ref="J50" si="203">ROUND(N(I50)*(5-$A50)*10,0)</f>
        <v>40</v>
      </c>
      <c r="K50" s="2" t="b">
        <v>1</v>
      </c>
      <c r="L50" s="2">
        <f t="shared" ref="L50" si="204">ROUND(N(K50)*(5-$A50)*10,0)</f>
        <v>40</v>
      </c>
      <c r="M50" s="2" t="b">
        <v>1</v>
      </c>
      <c r="N50" s="2">
        <f t="shared" ref="N50:P50" si="205">ROUND(N(M50)*(5-$A50)*10,0)</f>
        <v>40</v>
      </c>
      <c r="O50" s="2" t="b">
        <v>1</v>
      </c>
      <c r="P50" s="3">
        <f t="shared" si="205"/>
        <v>40</v>
      </c>
    </row>
    <row r="51" spans="1:16" x14ac:dyDescent="0.35">
      <c r="A51" s="13">
        <v>1</v>
      </c>
      <c r="B51" s="10" t="s">
        <v>31</v>
      </c>
      <c r="C51" s="2" t="b">
        <v>1</v>
      </c>
      <c r="D51" s="2">
        <f t="shared" ref="D51" si="206">ROUND(N(C51)*(5-$A51)*10,0)</f>
        <v>40</v>
      </c>
      <c r="E51" s="2" t="b">
        <v>1</v>
      </c>
      <c r="F51" s="2">
        <f t="shared" si="1"/>
        <v>40</v>
      </c>
      <c r="G51" s="2" t="b">
        <v>0</v>
      </c>
      <c r="H51" s="2">
        <f t="shared" ref="H51" si="207">ROUND(N(G51)*(5-$A51)*10,0)</f>
        <v>0</v>
      </c>
      <c r="I51" s="2" t="b">
        <v>1</v>
      </c>
      <c r="J51" s="2">
        <f t="shared" ref="J51" si="208">ROUND(N(I51)*(5-$A51)*10,0)</f>
        <v>40</v>
      </c>
      <c r="K51" s="2" t="b">
        <v>1</v>
      </c>
      <c r="L51" s="2">
        <f t="shared" ref="L51" si="209">ROUND(N(K51)*(5-$A51)*10,0)</f>
        <v>40</v>
      </c>
      <c r="M51" s="2" t="b">
        <v>1</v>
      </c>
      <c r="N51" s="2">
        <f t="shared" ref="N51:P51" si="210">ROUND(N(M51)*(5-$A51)*10,0)</f>
        <v>40</v>
      </c>
      <c r="O51" s="2" t="b">
        <v>1</v>
      </c>
      <c r="P51" s="3">
        <f t="shared" si="210"/>
        <v>40</v>
      </c>
    </row>
    <row r="52" spans="1:16" x14ac:dyDescent="0.35">
      <c r="A52" s="13">
        <v>3</v>
      </c>
      <c r="B52" s="10" t="s">
        <v>32</v>
      </c>
      <c r="C52" s="2" t="b">
        <v>1</v>
      </c>
      <c r="D52" s="2">
        <f t="shared" ref="D52" si="211">ROUND(N(C52)*(5-$A52)*10,0)</f>
        <v>20</v>
      </c>
      <c r="E52" s="2" t="b">
        <v>0</v>
      </c>
      <c r="F52" s="2">
        <f t="shared" si="1"/>
        <v>0</v>
      </c>
      <c r="G52" s="2" t="b">
        <v>0</v>
      </c>
      <c r="H52" s="2">
        <f t="shared" ref="H52" si="212">ROUND(N(G52)*(5-$A52)*10,0)</f>
        <v>0</v>
      </c>
      <c r="I52" s="2" t="b">
        <v>0</v>
      </c>
      <c r="J52" s="2">
        <f t="shared" ref="J52" si="213">ROUND(N(I52)*(5-$A52)*10,0)</f>
        <v>0</v>
      </c>
      <c r="K52" s="2" t="b">
        <v>0</v>
      </c>
      <c r="L52" s="2">
        <f t="shared" ref="L52" si="214">ROUND(N(K52)*(5-$A52)*10,0)</f>
        <v>0</v>
      </c>
      <c r="M52" s="2" t="b">
        <v>1</v>
      </c>
      <c r="N52" s="2">
        <f t="shared" ref="N52:P52" si="215">ROUND(N(M52)*(5-$A52)*10,0)</f>
        <v>20</v>
      </c>
      <c r="O52" s="2" t="b">
        <v>0</v>
      </c>
      <c r="P52" s="3">
        <f t="shared" si="215"/>
        <v>0</v>
      </c>
    </row>
    <row r="53" spans="1:16" x14ac:dyDescent="0.35">
      <c r="A53" s="13">
        <v>2</v>
      </c>
      <c r="B53" s="10" t="s">
        <v>33</v>
      </c>
      <c r="C53" s="2" t="b">
        <v>0</v>
      </c>
      <c r="D53" s="2">
        <f t="shared" ref="D53" si="216">ROUND(N(C53)*(5-$A53)*10,0)</f>
        <v>0</v>
      </c>
      <c r="E53" s="2" t="b">
        <v>1</v>
      </c>
      <c r="F53" s="2">
        <f t="shared" si="1"/>
        <v>30</v>
      </c>
      <c r="G53" s="2" t="b">
        <v>0</v>
      </c>
      <c r="H53" s="2">
        <f t="shared" ref="H53" si="217">ROUND(N(G53)*(5-$A53)*10,0)</f>
        <v>0</v>
      </c>
      <c r="I53" s="2">
        <v>0.5</v>
      </c>
      <c r="J53" s="2">
        <f t="shared" ref="J53" si="218">ROUND(N(I53)*(5-$A53)*10,0)</f>
        <v>15</v>
      </c>
      <c r="K53" s="2">
        <v>0.5</v>
      </c>
      <c r="L53" s="2">
        <f t="shared" ref="L53" si="219">ROUND(N(K53)*(5-$A53)*10,0)</f>
        <v>15</v>
      </c>
      <c r="M53" s="2" t="b">
        <v>1</v>
      </c>
      <c r="N53" s="2">
        <f t="shared" ref="N53:P53" si="220">ROUND(N(M53)*(5-$A53)*10,0)</f>
        <v>30</v>
      </c>
      <c r="O53" s="2" t="b">
        <v>1</v>
      </c>
      <c r="P53" s="3">
        <f t="shared" si="220"/>
        <v>30</v>
      </c>
    </row>
    <row r="54" spans="1:16" x14ac:dyDescent="0.35">
      <c r="A54" s="13">
        <v>3</v>
      </c>
      <c r="B54" s="10" t="s">
        <v>85</v>
      </c>
      <c r="C54" s="2" t="b">
        <v>1</v>
      </c>
      <c r="D54" s="2">
        <f t="shared" ref="D54" si="221">ROUND(N(C54)*(5-$A54)*10,0)</f>
        <v>20</v>
      </c>
      <c r="E54" s="2" t="b">
        <v>1</v>
      </c>
      <c r="F54" s="2">
        <f t="shared" si="1"/>
        <v>20</v>
      </c>
      <c r="G54" s="2" t="b">
        <v>1</v>
      </c>
      <c r="H54" s="2">
        <f t="shared" ref="H54" si="222">ROUND(N(G54)*(5-$A54)*10,0)</f>
        <v>20</v>
      </c>
      <c r="I54" s="2" t="b">
        <v>1</v>
      </c>
      <c r="J54" s="2">
        <f t="shared" ref="J54" si="223">ROUND(N(I54)*(5-$A54)*10,0)</f>
        <v>20</v>
      </c>
      <c r="K54" s="2" t="b">
        <v>1</v>
      </c>
      <c r="L54" s="2">
        <f t="shared" ref="L54" si="224">ROUND(N(K54)*(5-$A54)*10,0)</f>
        <v>20</v>
      </c>
      <c r="M54" s="2" t="b">
        <v>1</v>
      </c>
      <c r="N54" s="2">
        <f t="shared" ref="N54:P54" si="225">ROUND(N(M54)*(5-$A54)*10,0)</f>
        <v>20</v>
      </c>
      <c r="O54" s="2" t="b">
        <v>0</v>
      </c>
      <c r="P54" s="3">
        <f t="shared" si="225"/>
        <v>0</v>
      </c>
    </row>
    <row r="55" spans="1:16" x14ac:dyDescent="0.35">
      <c r="A55" s="13">
        <v>2</v>
      </c>
      <c r="B55" s="10" t="s">
        <v>84</v>
      </c>
      <c r="C55" s="2" t="b">
        <v>1</v>
      </c>
      <c r="D55" s="2">
        <f t="shared" ref="D55" si="226">ROUND(N(C55)*(5-$A55)*10,0)</f>
        <v>30</v>
      </c>
      <c r="E55" s="2" t="b">
        <v>0</v>
      </c>
      <c r="F55" s="2">
        <f t="shared" si="1"/>
        <v>0</v>
      </c>
      <c r="G55" s="2" t="b">
        <v>0</v>
      </c>
      <c r="H55" s="2">
        <f t="shared" ref="H55" si="227">ROUND(N(G55)*(5-$A55)*10,0)</f>
        <v>0</v>
      </c>
      <c r="I55" s="2" t="b">
        <v>0</v>
      </c>
      <c r="J55" s="2">
        <f t="shared" ref="J55" si="228">ROUND(N(I55)*(5-$A55)*10,0)</f>
        <v>0</v>
      </c>
      <c r="K55" s="2">
        <v>0.5</v>
      </c>
      <c r="L55" s="2">
        <f t="shared" ref="L55" si="229">ROUND(N(K55)*(5-$A55)*10,0)</f>
        <v>15</v>
      </c>
      <c r="M55" s="2" t="b">
        <v>0</v>
      </c>
      <c r="N55" s="2">
        <f t="shared" ref="N55:P55" si="230">ROUND(N(M55)*(5-$A55)*10,0)</f>
        <v>0</v>
      </c>
      <c r="O55" s="2" t="b">
        <v>0</v>
      </c>
      <c r="P55" s="3">
        <f t="shared" si="230"/>
        <v>0</v>
      </c>
    </row>
    <row r="56" spans="1:16" x14ac:dyDescent="0.35">
      <c r="A56" s="13">
        <v>1</v>
      </c>
      <c r="B56" s="10" t="s">
        <v>29</v>
      </c>
      <c r="C56" s="2" t="b">
        <v>1</v>
      </c>
      <c r="D56" s="2">
        <f t="shared" ref="D56" si="231">ROUND(N(C56)*(5-$A56)*10,0)</f>
        <v>40</v>
      </c>
      <c r="E56" s="2" t="b">
        <v>1</v>
      </c>
      <c r="F56" s="2">
        <f t="shared" si="1"/>
        <v>40</v>
      </c>
      <c r="G56" s="2" t="b">
        <v>1</v>
      </c>
      <c r="H56" s="2">
        <f t="shared" ref="H56" si="232">ROUND(N(G56)*(5-$A56)*10,0)</f>
        <v>40</v>
      </c>
      <c r="I56" s="2" t="b">
        <v>1</v>
      </c>
      <c r="J56" s="2">
        <f t="shared" ref="J56" si="233">ROUND(N(I56)*(5-$A56)*10,0)</f>
        <v>40</v>
      </c>
      <c r="K56" s="2" t="b">
        <v>1</v>
      </c>
      <c r="L56" s="2">
        <f t="shared" ref="L56" si="234">ROUND(N(K56)*(5-$A56)*10,0)</f>
        <v>40</v>
      </c>
      <c r="M56" s="2" t="b">
        <v>1</v>
      </c>
      <c r="N56" s="2">
        <f t="shared" ref="N56:P56" si="235">ROUND(N(M56)*(5-$A56)*10,0)</f>
        <v>40</v>
      </c>
      <c r="O56" s="2" t="b">
        <v>1</v>
      </c>
      <c r="P56" s="3">
        <f t="shared" si="235"/>
        <v>40</v>
      </c>
    </row>
    <row r="57" spans="1:16" x14ac:dyDescent="0.35">
      <c r="A57" s="13">
        <v>1</v>
      </c>
      <c r="B57" s="10" t="s">
        <v>28</v>
      </c>
      <c r="C57" s="2" t="b">
        <v>0</v>
      </c>
      <c r="D57" s="2">
        <f t="shared" ref="D57" si="236">ROUND(N(C57)*(5-$A57)*10,0)</f>
        <v>0</v>
      </c>
      <c r="E57" s="2">
        <v>0.5</v>
      </c>
      <c r="F57" s="2">
        <f t="shared" si="1"/>
        <v>20</v>
      </c>
      <c r="G57" s="2" t="b">
        <v>0</v>
      </c>
      <c r="H57" s="2">
        <f t="shared" ref="H57" si="237">ROUND(N(G57)*(5-$A57)*10,0)</f>
        <v>0</v>
      </c>
      <c r="I57" s="2">
        <v>0.8</v>
      </c>
      <c r="J57" s="2">
        <f t="shared" ref="J57" si="238">ROUND(N(I57)*(5-$A57)*10,0)</f>
        <v>32</v>
      </c>
      <c r="K57" s="2" t="b">
        <v>1</v>
      </c>
      <c r="L57" s="2">
        <f t="shared" ref="L57" si="239">ROUND(N(K57)*(5-$A57)*10,0)</f>
        <v>40</v>
      </c>
      <c r="M57" s="2" t="b">
        <v>0</v>
      </c>
      <c r="N57" s="2">
        <f t="shared" ref="N57:P57" si="240">ROUND(N(M57)*(5-$A57)*10,0)</f>
        <v>0</v>
      </c>
      <c r="O57" s="2" t="b">
        <v>0</v>
      </c>
      <c r="P57" s="3">
        <f t="shared" si="240"/>
        <v>0</v>
      </c>
    </row>
    <row r="58" spans="1:16" x14ac:dyDescent="0.35">
      <c r="A58" s="13">
        <v>2</v>
      </c>
      <c r="B58" s="10" t="s">
        <v>36</v>
      </c>
      <c r="C58" s="2" t="b">
        <v>0</v>
      </c>
      <c r="D58" s="2">
        <f t="shared" ref="D58" si="241">ROUND(N(C58)*(5-$A58)*10,0)</f>
        <v>0</v>
      </c>
      <c r="E58" s="2" t="b">
        <v>0</v>
      </c>
      <c r="F58" s="2">
        <f t="shared" si="1"/>
        <v>0</v>
      </c>
      <c r="G58" s="2" t="b">
        <v>0</v>
      </c>
      <c r="H58" s="2">
        <f t="shared" ref="H58" si="242">ROUND(N(G58)*(5-$A58)*10,0)</f>
        <v>0</v>
      </c>
      <c r="I58" s="2" t="b">
        <v>1</v>
      </c>
      <c r="J58" s="2">
        <f t="shared" ref="J58" si="243">ROUND(N(I58)*(5-$A58)*10,0)</f>
        <v>30</v>
      </c>
      <c r="K58" s="2" t="b">
        <v>1</v>
      </c>
      <c r="L58" s="2">
        <f t="shared" ref="L58" si="244">ROUND(N(K58)*(5-$A58)*10,0)</f>
        <v>30</v>
      </c>
      <c r="M58" s="2" t="b">
        <v>0</v>
      </c>
      <c r="N58" s="2">
        <f t="shared" ref="N58:P58" si="245">ROUND(N(M58)*(5-$A58)*10,0)</f>
        <v>0</v>
      </c>
      <c r="O58" s="2" t="b">
        <v>0</v>
      </c>
      <c r="P58" s="3">
        <f t="shared" si="245"/>
        <v>0</v>
      </c>
    </row>
    <row r="59" spans="1:16" x14ac:dyDescent="0.35">
      <c r="A59" s="13">
        <v>1</v>
      </c>
      <c r="B59" s="10" t="s">
        <v>63</v>
      </c>
      <c r="C59" s="2" t="b">
        <v>1</v>
      </c>
      <c r="D59" s="2">
        <f t="shared" ref="D59" si="246">ROUND(N(C59)*(5-$A59)*10,0)</f>
        <v>40</v>
      </c>
      <c r="E59" s="2" t="b">
        <v>1</v>
      </c>
      <c r="F59" s="2">
        <f t="shared" si="1"/>
        <v>40</v>
      </c>
      <c r="G59" s="2" t="b">
        <v>1</v>
      </c>
      <c r="H59" s="2">
        <f t="shared" ref="H59" si="247">ROUND(N(G59)*(5-$A59)*10,0)</f>
        <v>40</v>
      </c>
      <c r="I59" s="2" t="b">
        <v>1</v>
      </c>
      <c r="J59" s="2">
        <f t="shared" ref="J59" si="248">ROUND(N(I59)*(5-$A59)*10,0)</f>
        <v>40</v>
      </c>
      <c r="K59" s="2" t="b">
        <v>1</v>
      </c>
      <c r="L59" s="2">
        <f t="shared" ref="L59" si="249">ROUND(N(K59)*(5-$A59)*10,0)</f>
        <v>40</v>
      </c>
      <c r="M59" s="2" t="b">
        <v>1</v>
      </c>
      <c r="N59" s="2">
        <f t="shared" ref="N59:P59" si="250">ROUND(N(M59)*(5-$A59)*10,0)</f>
        <v>40</v>
      </c>
      <c r="O59" s="2" t="b">
        <v>1</v>
      </c>
      <c r="P59" s="3">
        <f t="shared" si="250"/>
        <v>40</v>
      </c>
    </row>
    <row r="60" spans="1:16" x14ac:dyDescent="0.35">
      <c r="A60" s="13">
        <v>1</v>
      </c>
      <c r="B60" s="10" t="s">
        <v>65</v>
      </c>
      <c r="C60" s="2" t="b">
        <v>1</v>
      </c>
      <c r="D60" s="2">
        <f t="shared" ref="D60" si="251">ROUND(N(C60)*(5-$A60)*10,0)</f>
        <v>40</v>
      </c>
      <c r="E60" s="2" t="b">
        <v>1</v>
      </c>
      <c r="F60" s="2">
        <f t="shared" si="1"/>
        <v>40</v>
      </c>
      <c r="G60" s="2" t="b">
        <v>1</v>
      </c>
      <c r="H60" s="2">
        <f t="shared" ref="H60" si="252">ROUND(N(G60)*(5-$A60)*10,0)</f>
        <v>40</v>
      </c>
      <c r="I60" s="2" t="b">
        <v>1</v>
      </c>
      <c r="J60" s="2">
        <f t="shared" ref="J60" si="253">ROUND(N(I60)*(5-$A60)*10,0)</f>
        <v>40</v>
      </c>
      <c r="K60" s="2">
        <v>0.5</v>
      </c>
      <c r="L60" s="2">
        <f t="shared" ref="L60" si="254">ROUND(N(K60)*(5-$A60)*10,0)</f>
        <v>20</v>
      </c>
      <c r="M60" s="2" t="b">
        <v>1</v>
      </c>
      <c r="N60" s="2">
        <f t="shared" ref="N60:P60" si="255">ROUND(N(M60)*(5-$A60)*10,0)</f>
        <v>40</v>
      </c>
      <c r="O60" s="2" t="b">
        <v>0</v>
      </c>
      <c r="P60" s="3">
        <f t="shared" si="255"/>
        <v>0</v>
      </c>
    </row>
    <row r="61" spans="1:16" x14ac:dyDescent="0.35">
      <c r="A61" s="13">
        <v>2</v>
      </c>
      <c r="B61" s="10" t="s">
        <v>64</v>
      </c>
      <c r="C61" s="2" t="b">
        <v>1</v>
      </c>
      <c r="D61" s="2">
        <f t="shared" ref="D61" si="256">ROUND(N(C61)*(5-$A61)*10,0)</f>
        <v>30</v>
      </c>
      <c r="E61" s="2" t="b">
        <v>1</v>
      </c>
      <c r="F61" s="2">
        <f t="shared" si="1"/>
        <v>30</v>
      </c>
      <c r="G61" s="2" t="b">
        <v>0</v>
      </c>
      <c r="H61" s="2">
        <f t="shared" ref="H61" si="257">ROUND(N(G61)*(5-$A61)*10,0)</f>
        <v>0</v>
      </c>
      <c r="I61" s="2" t="b">
        <v>1</v>
      </c>
      <c r="J61" s="2">
        <f t="shared" ref="J61" si="258">ROUND(N(I61)*(5-$A61)*10,0)</f>
        <v>30</v>
      </c>
      <c r="K61" s="2" t="b">
        <v>0</v>
      </c>
      <c r="L61" s="2">
        <f t="shared" ref="L61" si="259">ROUND(N(K61)*(5-$A61)*10,0)</f>
        <v>0</v>
      </c>
      <c r="M61" s="2" t="b">
        <v>1</v>
      </c>
      <c r="N61" s="2">
        <f t="shared" ref="N61:P61" si="260">ROUND(N(M61)*(5-$A61)*10,0)</f>
        <v>30</v>
      </c>
      <c r="O61" s="2" t="b">
        <v>1</v>
      </c>
      <c r="P61" s="3">
        <f t="shared" si="260"/>
        <v>30</v>
      </c>
    </row>
    <row r="62" spans="1:16" x14ac:dyDescent="0.35">
      <c r="A62" s="13">
        <v>2</v>
      </c>
      <c r="B62" s="10" t="s">
        <v>69</v>
      </c>
      <c r="C62" s="2" t="b">
        <v>1</v>
      </c>
      <c r="D62" s="2">
        <f t="shared" ref="D62" si="261">ROUND(N(C62)*(5-$A62)*10,0)</f>
        <v>30</v>
      </c>
      <c r="E62" s="2" t="b">
        <v>0</v>
      </c>
      <c r="F62" s="2">
        <f t="shared" si="1"/>
        <v>0</v>
      </c>
      <c r="G62" s="2" t="b">
        <v>0</v>
      </c>
      <c r="H62" s="2">
        <f t="shared" ref="H62" si="262">ROUND(N(G62)*(5-$A62)*10,0)</f>
        <v>0</v>
      </c>
      <c r="I62" s="2">
        <v>0.5</v>
      </c>
      <c r="J62" s="2">
        <f t="shared" ref="J62" si="263">ROUND(N(I62)*(5-$A62)*10,0)</f>
        <v>15</v>
      </c>
      <c r="K62" s="2">
        <v>0.5</v>
      </c>
      <c r="L62" s="2">
        <f t="shared" ref="L62" si="264">ROUND(N(K62)*(5-$A62)*10,0)</f>
        <v>15</v>
      </c>
      <c r="M62" s="2" t="b">
        <v>0</v>
      </c>
      <c r="N62" s="2">
        <f t="shared" ref="N62:P62" si="265">ROUND(N(M62)*(5-$A62)*10,0)</f>
        <v>0</v>
      </c>
      <c r="O62" s="2" t="b">
        <v>0</v>
      </c>
      <c r="P62" s="3">
        <f t="shared" si="265"/>
        <v>0</v>
      </c>
    </row>
    <row r="63" spans="1:16" x14ac:dyDescent="0.35">
      <c r="A63" s="13">
        <v>3</v>
      </c>
      <c r="B63" s="10" t="s">
        <v>66</v>
      </c>
      <c r="C63" s="2" t="b">
        <v>1</v>
      </c>
      <c r="D63" s="2">
        <f t="shared" ref="D63" si="266">ROUND(N(C63)*(5-$A63)*10,0)</f>
        <v>20</v>
      </c>
      <c r="E63" s="2" t="b">
        <v>1</v>
      </c>
      <c r="F63" s="2">
        <f t="shared" si="1"/>
        <v>20</v>
      </c>
      <c r="G63" s="2" t="b">
        <v>0</v>
      </c>
      <c r="H63" s="2">
        <f t="shared" ref="H63" si="267">ROUND(N(G63)*(5-$A63)*10,0)</f>
        <v>0</v>
      </c>
      <c r="I63" s="2" t="b">
        <v>0</v>
      </c>
      <c r="J63" s="2">
        <f t="shared" ref="J63" si="268">ROUND(N(I63)*(5-$A63)*10,0)</f>
        <v>0</v>
      </c>
      <c r="K63" s="2" t="b">
        <v>0</v>
      </c>
      <c r="L63" s="2">
        <f t="shared" ref="L63" si="269">ROUND(N(K63)*(5-$A63)*10,0)</f>
        <v>0</v>
      </c>
      <c r="M63" s="2" t="b">
        <v>0</v>
      </c>
      <c r="N63" s="2">
        <f t="shared" ref="N63:P63" si="270">ROUND(N(M63)*(5-$A63)*10,0)</f>
        <v>0</v>
      </c>
      <c r="O63" s="2" t="b">
        <v>0</v>
      </c>
      <c r="P63" s="3">
        <f t="shared" si="270"/>
        <v>0</v>
      </c>
    </row>
    <row r="64" spans="1:16" x14ac:dyDescent="0.35">
      <c r="A64" s="13">
        <v>1</v>
      </c>
      <c r="B64" s="10" t="s">
        <v>67</v>
      </c>
      <c r="C64" s="2" t="b">
        <v>1</v>
      </c>
      <c r="D64" s="2">
        <f t="shared" ref="D64" si="271">ROUND(N(C64)*(5-$A64)*10,0)</f>
        <v>40</v>
      </c>
      <c r="E64" s="2" t="b">
        <v>1</v>
      </c>
      <c r="F64" s="2">
        <f t="shared" si="1"/>
        <v>40</v>
      </c>
      <c r="G64" s="2" t="b">
        <v>1</v>
      </c>
      <c r="H64" s="2">
        <f t="shared" ref="H64" si="272">ROUND(N(G64)*(5-$A64)*10,0)</f>
        <v>40</v>
      </c>
      <c r="I64" s="2" t="b">
        <v>1</v>
      </c>
      <c r="J64" s="2">
        <f t="shared" ref="J64" si="273">ROUND(N(I64)*(5-$A64)*10,0)</f>
        <v>40</v>
      </c>
      <c r="K64" s="2">
        <v>0.5</v>
      </c>
      <c r="L64" s="2">
        <f t="shared" ref="L64" si="274">ROUND(N(K64)*(5-$A64)*10,0)</f>
        <v>20</v>
      </c>
      <c r="M64" s="2" t="b">
        <v>1</v>
      </c>
      <c r="N64" s="2">
        <f t="shared" ref="N64:P64" si="275">ROUND(N(M64)*(5-$A64)*10,0)</f>
        <v>40</v>
      </c>
      <c r="O64" s="2" t="b">
        <v>1</v>
      </c>
      <c r="P64" s="3">
        <f t="shared" si="275"/>
        <v>40</v>
      </c>
    </row>
    <row r="65" spans="1:16" x14ac:dyDescent="0.35">
      <c r="A65" s="13">
        <v>2</v>
      </c>
      <c r="B65" s="10" t="s">
        <v>68</v>
      </c>
      <c r="C65" s="2" t="b">
        <v>1</v>
      </c>
      <c r="D65" s="2">
        <f t="shared" ref="D65" si="276">ROUND(N(C65)*(5-$A65)*10,0)</f>
        <v>30</v>
      </c>
      <c r="E65" s="2" t="b">
        <v>1</v>
      </c>
      <c r="F65" s="2">
        <f t="shared" si="1"/>
        <v>30</v>
      </c>
      <c r="G65" s="2" t="b">
        <v>0</v>
      </c>
      <c r="H65" s="2">
        <f t="shared" ref="H65" si="277">ROUND(N(G65)*(5-$A65)*10,0)</f>
        <v>0</v>
      </c>
      <c r="I65" s="2" t="b">
        <v>1</v>
      </c>
      <c r="J65" s="2">
        <f t="shared" ref="J65" si="278">ROUND(N(I65)*(5-$A65)*10,0)</f>
        <v>30</v>
      </c>
      <c r="K65" s="2">
        <v>0.5</v>
      </c>
      <c r="L65" s="2">
        <f t="shared" ref="L65" si="279">ROUND(N(K65)*(5-$A65)*10,0)</f>
        <v>15</v>
      </c>
      <c r="M65" s="2" t="b">
        <v>1</v>
      </c>
      <c r="N65" s="2">
        <f t="shared" ref="N65:P65" si="280">ROUND(N(M65)*(5-$A65)*10,0)</f>
        <v>30</v>
      </c>
      <c r="O65" s="2" t="b">
        <v>0</v>
      </c>
      <c r="P65" s="3">
        <f t="shared" si="280"/>
        <v>0</v>
      </c>
    </row>
    <row r="66" spans="1:16" ht="18.5" x14ac:dyDescent="0.45">
      <c r="A66" s="13"/>
      <c r="B66" s="5" t="s">
        <v>34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6"/>
    </row>
    <row r="67" spans="1:16" x14ac:dyDescent="0.35">
      <c r="A67" s="13">
        <v>1</v>
      </c>
      <c r="B67" s="10" t="s">
        <v>61</v>
      </c>
      <c r="C67" s="2" t="b">
        <v>1</v>
      </c>
      <c r="D67" s="2">
        <f t="shared" ref="D67" si="281">ROUND(N(C67)*(5-$A67)*10,0)</f>
        <v>40</v>
      </c>
      <c r="E67" s="2" t="b">
        <v>1</v>
      </c>
      <c r="F67" s="2">
        <f t="shared" si="1"/>
        <v>40</v>
      </c>
      <c r="G67" s="2" t="b">
        <v>1</v>
      </c>
      <c r="H67" s="2">
        <f t="shared" ref="H67" si="282">ROUND(N(G67)*(5-$A67)*10,0)</f>
        <v>40</v>
      </c>
      <c r="I67" s="2" t="b">
        <v>1</v>
      </c>
      <c r="J67" s="2">
        <f t="shared" ref="J67" si="283">ROUND(N(I67)*(5-$A67)*10,0)</f>
        <v>40</v>
      </c>
      <c r="K67" s="2" t="b">
        <v>1</v>
      </c>
      <c r="L67" s="2">
        <f t="shared" ref="L67" si="284">ROUND(N(K67)*(5-$A67)*10,0)</f>
        <v>40</v>
      </c>
      <c r="M67" s="2" t="b">
        <v>1</v>
      </c>
      <c r="N67" s="2">
        <f t="shared" ref="N67:P67" si="285">ROUND(N(M67)*(5-$A67)*10,0)</f>
        <v>40</v>
      </c>
      <c r="O67" s="2" t="b">
        <v>0</v>
      </c>
      <c r="P67" s="3">
        <f t="shared" si="285"/>
        <v>0</v>
      </c>
    </row>
    <row r="68" spans="1:16" x14ac:dyDescent="0.35">
      <c r="A68" s="13">
        <v>2</v>
      </c>
      <c r="B68" s="10" t="s">
        <v>51</v>
      </c>
      <c r="C68" s="2" t="b">
        <v>1</v>
      </c>
      <c r="D68" s="2">
        <f t="shared" ref="D68" si="286">ROUND(N(C68)*(5-$A68)*10,0)</f>
        <v>30</v>
      </c>
      <c r="E68" s="2" t="b">
        <v>0</v>
      </c>
      <c r="F68" s="2">
        <f t="shared" si="1"/>
        <v>0</v>
      </c>
      <c r="G68" s="2" t="b">
        <v>0</v>
      </c>
      <c r="H68" s="2">
        <f t="shared" ref="H68" si="287">ROUND(N(G68)*(5-$A68)*10,0)</f>
        <v>0</v>
      </c>
      <c r="I68" s="2" t="b">
        <v>1</v>
      </c>
      <c r="J68" s="2">
        <f t="shared" ref="J68" si="288">ROUND(N(I68)*(5-$A68)*10,0)</f>
        <v>30</v>
      </c>
      <c r="K68" s="2" t="b">
        <v>0</v>
      </c>
      <c r="L68" s="2">
        <f t="shared" ref="L68" si="289">ROUND(N(K68)*(5-$A68)*10,0)</f>
        <v>0</v>
      </c>
      <c r="M68" s="2" t="b">
        <v>1</v>
      </c>
      <c r="N68" s="2">
        <f t="shared" ref="N68:P68" si="290">ROUND(N(M68)*(5-$A68)*10,0)</f>
        <v>30</v>
      </c>
      <c r="O68" s="2" t="b">
        <v>0</v>
      </c>
      <c r="P68" s="3">
        <f t="shared" si="290"/>
        <v>0</v>
      </c>
    </row>
    <row r="69" spans="1:16" x14ac:dyDescent="0.35">
      <c r="A69" s="13">
        <v>2</v>
      </c>
      <c r="B69" s="10" t="s">
        <v>52</v>
      </c>
      <c r="C69" s="2" t="b">
        <v>1</v>
      </c>
      <c r="D69" s="2">
        <f t="shared" ref="D69" si="291">ROUND(N(C69)*(5-$A69)*10,0)</f>
        <v>30</v>
      </c>
      <c r="E69" s="2" t="b">
        <v>1</v>
      </c>
      <c r="F69" s="2">
        <f t="shared" si="1"/>
        <v>30</v>
      </c>
      <c r="G69" s="2" t="b">
        <v>1</v>
      </c>
      <c r="H69" s="2">
        <f t="shared" ref="H69" si="292">ROUND(N(G69)*(5-$A69)*10,0)</f>
        <v>30</v>
      </c>
      <c r="I69" s="2" t="b">
        <v>1</v>
      </c>
      <c r="J69" s="2">
        <f t="shared" ref="J69" si="293">ROUND(N(I69)*(5-$A69)*10,0)</f>
        <v>30</v>
      </c>
      <c r="K69" s="2">
        <v>0.5</v>
      </c>
      <c r="L69" s="2">
        <f t="shared" ref="L69" si="294">ROUND(N(K69)*(5-$A69)*10,0)</f>
        <v>15</v>
      </c>
      <c r="M69" s="2" t="b">
        <v>1</v>
      </c>
      <c r="N69" s="2">
        <f t="shared" ref="N69:P69" si="295">ROUND(N(M69)*(5-$A69)*10,0)</f>
        <v>30</v>
      </c>
      <c r="O69" s="2" t="b">
        <v>0</v>
      </c>
      <c r="P69" s="3">
        <f t="shared" si="295"/>
        <v>0</v>
      </c>
    </row>
    <row r="70" spans="1:16" x14ac:dyDescent="0.35">
      <c r="A70" s="13">
        <v>2</v>
      </c>
      <c r="B70" s="10" t="s">
        <v>53</v>
      </c>
      <c r="C70" s="2" t="b">
        <v>1</v>
      </c>
      <c r="D70" s="2">
        <f t="shared" ref="D70" si="296">ROUND(N(C70)*(5-$A70)*10,0)</f>
        <v>30</v>
      </c>
      <c r="E70" s="2" t="b">
        <v>1</v>
      </c>
      <c r="F70" s="2">
        <f t="shared" ref="F70:F78" si="297">ROUND(N(E70)*(5-$A70)*10,0)</f>
        <v>30</v>
      </c>
      <c r="G70" s="2" t="b">
        <v>1</v>
      </c>
      <c r="H70" s="2">
        <f t="shared" ref="H70" si="298">ROUND(N(G70)*(5-$A70)*10,0)</f>
        <v>30</v>
      </c>
      <c r="I70" s="2" t="b">
        <v>1</v>
      </c>
      <c r="J70" s="2">
        <f t="shared" ref="J70" si="299">ROUND(N(I70)*(5-$A70)*10,0)</f>
        <v>30</v>
      </c>
      <c r="K70" s="2">
        <v>0.5</v>
      </c>
      <c r="L70" s="2">
        <f t="shared" ref="L70" si="300">ROUND(N(K70)*(5-$A70)*10,0)</f>
        <v>15</v>
      </c>
      <c r="M70" s="2" t="b">
        <v>1</v>
      </c>
      <c r="N70" s="2">
        <f t="shared" ref="N70:P70" si="301">ROUND(N(M70)*(5-$A70)*10,0)</f>
        <v>30</v>
      </c>
      <c r="O70" s="2" t="b">
        <v>1</v>
      </c>
      <c r="P70" s="3">
        <f t="shared" si="301"/>
        <v>30</v>
      </c>
    </row>
    <row r="71" spans="1:16" x14ac:dyDescent="0.35">
      <c r="A71" s="13">
        <v>3</v>
      </c>
      <c r="B71" s="10" t="s">
        <v>56</v>
      </c>
      <c r="C71" s="2" t="b">
        <v>1</v>
      </c>
      <c r="D71" s="2">
        <f t="shared" ref="D71" si="302">ROUND(N(C71)*(5-$A71)*10,0)</f>
        <v>20</v>
      </c>
      <c r="E71" s="2" t="b">
        <v>1</v>
      </c>
      <c r="F71" s="2">
        <f t="shared" si="297"/>
        <v>20</v>
      </c>
      <c r="G71" s="2" t="b">
        <v>0</v>
      </c>
      <c r="H71" s="2">
        <f t="shared" ref="H71" si="303">ROUND(N(G71)*(5-$A71)*10,0)</f>
        <v>0</v>
      </c>
      <c r="I71" s="2" t="b">
        <v>0</v>
      </c>
      <c r="J71" s="2">
        <f t="shared" ref="J71" si="304">ROUND(N(I71)*(5-$A71)*10,0)</f>
        <v>0</v>
      </c>
      <c r="K71" s="2" t="b">
        <v>0</v>
      </c>
      <c r="L71" s="2">
        <f t="shared" ref="L71" si="305">ROUND(N(K71)*(5-$A71)*10,0)</f>
        <v>0</v>
      </c>
      <c r="M71" s="2" t="b">
        <v>1</v>
      </c>
      <c r="N71" s="2">
        <f t="shared" ref="N71:P71" si="306">ROUND(N(M71)*(5-$A71)*10,0)</f>
        <v>20</v>
      </c>
      <c r="O71" s="2" t="b">
        <v>0</v>
      </c>
      <c r="P71" s="3">
        <f t="shared" si="306"/>
        <v>0</v>
      </c>
    </row>
    <row r="72" spans="1:16" x14ac:dyDescent="0.35">
      <c r="A72" s="13">
        <v>2</v>
      </c>
      <c r="B72" s="10" t="s">
        <v>54</v>
      </c>
      <c r="C72" s="2" t="b">
        <v>1</v>
      </c>
      <c r="D72" s="2">
        <f t="shared" ref="D72" si="307">ROUND(N(C72)*(5-$A72)*10,0)</f>
        <v>30</v>
      </c>
      <c r="E72" s="2" t="b">
        <v>0</v>
      </c>
      <c r="F72" s="2">
        <f t="shared" si="297"/>
        <v>0</v>
      </c>
      <c r="G72" s="2" t="b">
        <v>0</v>
      </c>
      <c r="H72" s="2">
        <f t="shared" ref="H72" si="308">ROUND(N(G72)*(5-$A72)*10,0)</f>
        <v>0</v>
      </c>
      <c r="I72" s="2" t="b">
        <v>1</v>
      </c>
      <c r="J72" s="2">
        <f t="shared" ref="J72" si="309">ROUND(N(I72)*(5-$A72)*10,0)</f>
        <v>30</v>
      </c>
      <c r="K72" s="2" t="b">
        <v>0</v>
      </c>
      <c r="L72" s="2">
        <f t="shared" ref="L72" si="310">ROUND(N(K72)*(5-$A72)*10,0)</f>
        <v>0</v>
      </c>
      <c r="M72" s="2" t="b">
        <v>0</v>
      </c>
      <c r="N72" s="2">
        <f t="shared" ref="N72:P72" si="311">ROUND(N(M72)*(5-$A72)*10,0)</f>
        <v>0</v>
      </c>
      <c r="O72" s="2" t="b">
        <v>0</v>
      </c>
      <c r="P72" s="3">
        <f t="shared" si="311"/>
        <v>0</v>
      </c>
    </row>
    <row r="73" spans="1:16" x14ac:dyDescent="0.35">
      <c r="A73" s="13">
        <v>1</v>
      </c>
      <c r="B73" s="10" t="s">
        <v>55</v>
      </c>
      <c r="C73" s="2" t="b">
        <v>1</v>
      </c>
      <c r="D73" s="2">
        <f t="shared" ref="D73" si="312">ROUND(N(C73)*(5-$A73)*10,0)</f>
        <v>40</v>
      </c>
      <c r="E73" s="2" t="b">
        <v>1</v>
      </c>
      <c r="F73" s="2">
        <f t="shared" si="297"/>
        <v>40</v>
      </c>
      <c r="G73" s="2" t="b">
        <v>0</v>
      </c>
      <c r="H73" s="2">
        <f t="shared" ref="H73" si="313">ROUND(N(G73)*(5-$A73)*10,0)</f>
        <v>0</v>
      </c>
      <c r="I73" s="2" t="b">
        <v>1</v>
      </c>
      <c r="J73" s="2">
        <f t="shared" ref="J73" si="314">ROUND(N(I73)*(5-$A73)*10,0)</f>
        <v>40</v>
      </c>
      <c r="K73" s="2" t="b">
        <v>1</v>
      </c>
      <c r="L73" s="2">
        <f t="shared" ref="L73" si="315">ROUND(N(K73)*(5-$A73)*10,0)</f>
        <v>40</v>
      </c>
      <c r="M73" s="2" t="b">
        <v>1</v>
      </c>
      <c r="N73" s="2">
        <f t="shared" ref="N73:P73" si="316">ROUND(N(M73)*(5-$A73)*10,0)</f>
        <v>40</v>
      </c>
      <c r="O73" s="2" t="b">
        <v>1</v>
      </c>
      <c r="P73" s="3">
        <f t="shared" si="316"/>
        <v>40</v>
      </c>
    </row>
    <row r="74" spans="1:16" x14ac:dyDescent="0.35">
      <c r="A74" s="13">
        <v>4</v>
      </c>
      <c r="B74" s="10" t="s">
        <v>58</v>
      </c>
      <c r="C74" s="2" t="b">
        <v>1</v>
      </c>
      <c r="D74" s="2">
        <f t="shared" ref="D74" si="317">ROUND(N(C74)*(5-$A74)*10,0)</f>
        <v>10</v>
      </c>
      <c r="E74" s="2" t="b">
        <v>1</v>
      </c>
      <c r="F74" s="2">
        <f t="shared" si="297"/>
        <v>10</v>
      </c>
      <c r="G74" s="2" t="b">
        <v>1</v>
      </c>
      <c r="H74" s="2">
        <f t="shared" ref="H74" si="318">ROUND(N(G74)*(5-$A74)*10,0)</f>
        <v>10</v>
      </c>
      <c r="I74" s="2" t="b">
        <v>0</v>
      </c>
      <c r="J74" s="2">
        <f t="shared" ref="J74" si="319">ROUND(N(I74)*(5-$A74)*10,0)</f>
        <v>0</v>
      </c>
      <c r="K74" s="2" t="b">
        <v>0</v>
      </c>
      <c r="L74" s="2">
        <f t="shared" ref="L74" si="320">ROUND(N(K74)*(5-$A74)*10,0)</f>
        <v>0</v>
      </c>
      <c r="M74" s="2" t="b">
        <v>1</v>
      </c>
      <c r="N74" s="2">
        <f t="shared" ref="N74:P74" si="321">ROUND(N(M74)*(5-$A74)*10,0)</f>
        <v>10</v>
      </c>
      <c r="O74" s="2" t="b">
        <v>0</v>
      </c>
      <c r="P74" s="3">
        <f t="shared" si="321"/>
        <v>0</v>
      </c>
    </row>
    <row r="75" spans="1:16" x14ac:dyDescent="0.35">
      <c r="A75" s="13">
        <v>2</v>
      </c>
      <c r="B75" s="10" t="s">
        <v>57</v>
      </c>
      <c r="C75" s="2" t="b">
        <v>1</v>
      </c>
      <c r="D75" s="2">
        <f t="shared" ref="D75" si="322">ROUND(N(C75)*(5-$A75)*10,0)</f>
        <v>30</v>
      </c>
      <c r="E75" s="2" t="b">
        <v>1</v>
      </c>
      <c r="F75" s="2">
        <f t="shared" si="297"/>
        <v>30</v>
      </c>
      <c r="G75" s="2" t="b">
        <v>0</v>
      </c>
      <c r="H75" s="2">
        <f t="shared" ref="H75" si="323">ROUND(N(G75)*(5-$A75)*10,0)</f>
        <v>0</v>
      </c>
      <c r="I75" s="2" t="b">
        <v>1</v>
      </c>
      <c r="J75" s="2">
        <f t="shared" ref="J75" si="324">ROUND(N(I75)*(5-$A75)*10,0)</f>
        <v>30</v>
      </c>
      <c r="K75" s="2" t="b">
        <v>0</v>
      </c>
      <c r="L75" s="2">
        <f t="shared" ref="L75" si="325">ROUND(N(K75)*(5-$A75)*10,0)</f>
        <v>0</v>
      </c>
      <c r="M75" s="2" t="b">
        <v>1</v>
      </c>
      <c r="N75" s="2">
        <f t="shared" ref="N75:P75" si="326">ROUND(N(M75)*(5-$A75)*10,0)</f>
        <v>30</v>
      </c>
      <c r="O75" s="2" t="b">
        <v>0</v>
      </c>
      <c r="P75" s="3">
        <f t="shared" si="326"/>
        <v>0</v>
      </c>
    </row>
    <row r="76" spans="1:16" x14ac:dyDescent="0.35">
      <c r="A76" s="13">
        <v>4</v>
      </c>
      <c r="B76" s="10" t="s">
        <v>59</v>
      </c>
      <c r="C76" s="2" t="b">
        <v>1</v>
      </c>
      <c r="D76" s="2">
        <f t="shared" ref="D76" si="327">ROUND(N(C76)*(5-$A76)*10,0)</f>
        <v>10</v>
      </c>
      <c r="E76" s="2" t="b">
        <v>1</v>
      </c>
      <c r="F76" s="2">
        <f t="shared" si="297"/>
        <v>10</v>
      </c>
      <c r="G76" s="2" t="b">
        <v>1</v>
      </c>
      <c r="H76" s="2">
        <f t="shared" ref="H76" si="328">ROUND(N(G76)*(5-$A76)*10,0)</f>
        <v>10</v>
      </c>
      <c r="I76" s="2" t="b">
        <v>1</v>
      </c>
      <c r="J76" s="2">
        <f t="shared" ref="J76" si="329">ROUND(N(I76)*(5-$A76)*10,0)</f>
        <v>10</v>
      </c>
      <c r="K76" s="2" t="b">
        <v>0</v>
      </c>
      <c r="L76" s="2">
        <f t="shared" ref="L76" si="330">ROUND(N(K76)*(5-$A76)*10,0)</f>
        <v>0</v>
      </c>
      <c r="M76" s="2" t="b">
        <v>0</v>
      </c>
      <c r="N76" s="2">
        <f t="shared" ref="N76:P76" si="331">ROUND(N(M76)*(5-$A76)*10,0)</f>
        <v>0</v>
      </c>
      <c r="O76" s="2" t="b">
        <v>0</v>
      </c>
      <c r="P76" s="3">
        <f t="shared" si="331"/>
        <v>0</v>
      </c>
    </row>
    <row r="77" spans="1:16" x14ac:dyDescent="0.35">
      <c r="A77" s="13">
        <v>2</v>
      </c>
      <c r="B77" s="10" t="s">
        <v>70</v>
      </c>
      <c r="C77" s="2" t="b">
        <v>1</v>
      </c>
      <c r="D77" s="2">
        <f t="shared" ref="D77" si="332">ROUND(N(C77)*(5-$A77)*10,0)</f>
        <v>30</v>
      </c>
      <c r="E77" s="2" t="b">
        <v>1</v>
      </c>
      <c r="F77" s="2">
        <f t="shared" si="297"/>
        <v>30</v>
      </c>
      <c r="G77" s="2" t="b">
        <v>0</v>
      </c>
      <c r="H77" s="2">
        <f t="shared" ref="H77" si="333">ROUND(N(G77)*(5-$A77)*10,0)</f>
        <v>0</v>
      </c>
      <c r="I77" s="2" t="b">
        <v>1</v>
      </c>
      <c r="J77" s="2">
        <f t="shared" ref="J77" si="334">ROUND(N(I77)*(5-$A77)*10,0)</f>
        <v>30</v>
      </c>
      <c r="K77" s="2" t="b">
        <v>1</v>
      </c>
      <c r="L77" s="2">
        <f t="shared" ref="L77" si="335">ROUND(N(K77)*(5-$A77)*10,0)</f>
        <v>30</v>
      </c>
      <c r="M77" s="2" t="b">
        <v>1</v>
      </c>
      <c r="N77" s="2">
        <f t="shared" ref="N77:P77" si="336">ROUND(N(M77)*(5-$A77)*10,0)</f>
        <v>30</v>
      </c>
      <c r="O77" s="2" t="b">
        <v>0</v>
      </c>
      <c r="P77" s="3">
        <f t="shared" si="336"/>
        <v>0</v>
      </c>
    </row>
    <row r="78" spans="1:16" x14ac:dyDescent="0.35">
      <c r="A78" s="13">
        <v>4</v>
      </c>
      <c r="B78" s="10" t="s">
        <v>60</v>
      </c>
      <c r="C78" s="2" t="b">
        <v>1</v>
      </c>
      <c r="D78" s="2">
        <f t="shared" ref="D78" si="337">ROUND(N(C78)*(5-$A78)*10,0)</f>
        <v>10</v>
      </c>
      <c r="E78" s="2" t="b">
        <v>0</v>
      </c>
      <c r="F78" s="2">
        <f t="shared" si="297"/>
        <v>0</v>
      </c>
      <c r="G78" s="2" t="b">
        <v>0</v>
      </c>
      <c r="H78" s="2">
        <f t="shared" ref="H78" si="338">ROUND(N(G78)*(5-$A78)*10,0)</f>
        <v>0</v>
      </c>
      <c r="I78" s="2" t="b">
        <v>0</v>
      </c>
      <c r="J78" s="2">
        <f t="shared" ref="J78" si="339">ROUND(N(I78)*(5-$A78)*10,0)</f>
        <v>0</v>
      </c>
      <c r="K78" s="2" t="b">
        <v>0</v>
      </c>
      <c r="L78" s="2">
        <f t="shared" ref="L78" si="340">ROUND(N(K78)*(5-$A78)*10,0)</f>
        <v>0</v>
      </c>
      <c r="M78" s="2" t="b">
        <v>0</v>
      </c>
      <c r="N78" s="2">
        <f t="shared" ref="N78:P78" si="341">ROUND(N(M78)*(5-$A78)*10,0)</f>
        <v>0</v>
      </c>
      <c r="O78" s="2" t="b">
        <v>0</v>
      </c>
      <c r="P78" s="3">
        <f t="shared" si="341"/>
        <v>0</v>
      </c>
    </row>
    <row r="79" spans="1:16" ht="15" thickBot="1" x14ac:dyDescent="0.4">
      <c r="A79" s="15"/>
      <c r="B79" s="16"/>
      <c r="C79" s="16">
        <f>SUM(D5:D78)</f>
        <v>1500</v>
      </c>
      <c r="D79" s="16"/>
      <c r="E79" s="16">
        <f>SUM(F5:F78)</f>
        <v>1410</v>
      </c>
      <c r="F79" s="16"/>
      <c r="G79" s="16">
        <f>SUM(H5:H78)</f>
        <v>1035</v>
      </c>
      <c r="H79" s="16"/>
      <c r="I79" s="16">
        <f>SUM(J5:J78)</f>
        <v>1587</v>
      </c>
      <c r="J79" s="16"/>
      <c r="K79" s="16">
        <f>SUM(L5:L78)</f>
        <v>1160</v>
      </c>
      <c r="L79" s="16"/>
      <c r="M79" s="16">
        <f>SUM(N5:N78)</f>
        <v>1230</v>
      </c>
      <c r="N79" s="16"/>
      <c r="O79" s="16">
        <f>SUM(P5:P78)</f>
        <v>840</v>
      </c>
      <c r="P79" s="17"/>
    </row>
    <row r="80" spans="1:16" ht="15" thickTop="1" x14ac:dyDescent="0.35"/>
  </sheetData>
  <mergeCells count="2">
    <mergeCell ref="B3:O3"/>
    <mergeCell ref="B1:O1"/>
  </mergeCells>
  <pageMargins left="0.7" right="0.7" top="0.78740157499999996" bottom="0.78740157499999996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Haderlein</dc:creator>
  <cp:lastModifiedBy>Julian Haderlein</cp:lastModifiedBy>
  <dcterms:created xsi:type="dcterms:W3CDTF">2025-11-01T16:38:50Z</dcterms:created>
  <dcterms:modified xsi:type="dcterms:W3CDTF">2025-11-12T22:17:43Z</dcterms:modified>
</cp:coreProperties>
</file>